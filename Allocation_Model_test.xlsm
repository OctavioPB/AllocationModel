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hp laserjet pro 200 color mfp m276nw\"/>
    </mc:Choice>
  </mc:AlternateContent>
  <xr:revisionPtr revIDLastSave="0" documentId="8_{7FDA9B8A-1206-4584-90F1-ED0476579AD2}" xr6:coauthVersionLast="45" xr6:coauthVersionMax="45" xr10:uidLastSave="{00000000-0000-0000-0000-000000000000}"/>
  <bookViews>
    <workbookView xWindow="23880" yWindow="-120" windowWidth="29040" windowHeight="15840" xr2:uid="{00000000-000D-0000-FFFF-FFFF00000000}"/>
  </bookViews>
  <sheets>
    <sheet name="Deals" sheetId="3" r:id="rId1"/>
    <sheet name="Sheet1" sheetId="7" state="hidden" r:id="rId2"/>
    <sheet name="Sheet2" sheetId="8" state="hidden" r:id="rId3"/>
    <sheet name="Purchaser" sheetId="2" r:id="rId4"/>
  </sheets>
  <definedNames>
    <definedName name="_xlnm._FilterDatabase" localSheetId="0" hidden="1">Deals!$M$9:$AA$107</definedName>
    <definedName name="_xlnm._FilterDatabase" localSheetId="3" hidden="1">Purchaser!$A$1:$L$17</definedName>
    <definedName name="_xlnm._FilterDatabase" localSheetId="2" hidden="1">Sheet2!$A$1:$J$16</definedName>
    <definedName name="Allocation_Pref">Deals!$S$3:$AA$3</definedName>
    <definedName name="Deals">Deals!$I$16:$I$106</definedName>
    <definedName name="Deals_Type">Deals!$H$16:$H$106</definedName>
    <definedName name="Optimum_Alloaction">Deals!$AI$16:$AI$106</definedName>
    <definedName name="purchasers">#REF!</definedName>
    <definedName name="Purchasers_Amounts">Deals!$S$7:$AA$7</definedName>
    <definedName name="solver_adj" localSheetId="0" hidden="1">Deals!$Q$10:$V$14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Deals!$Q$9:$V$9</definedName>
    <definedName name="solver_lhs2" localSheetId="0" hidden="1">Deals!$Q$10:$V$14</definedName>
    <definedName name="solver_lhs3" localSheetId="0" hidden="1">Deals!#REF!</definedName>
    <definedName name="solver_lhs4" localSheetId="0" hidden="1">Deals!#REF!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Deals!#REF!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5</definedName>
    <definedName name="solver_rel3" localSheetId="0" hidden="1">1</definedName>
    <definedName name="solver_rel4" localSheetId="0" hidden="1">1</definedName>
    <definedName name="solver_rhs1" localSheetId="0" hidden="1">Deals!$Q$7:$V$7</definedName>
    <definedName name="solver_rhs2" localSheetId="0" hidden="1">binary</definedName>
    <definedName name="solver_rhs3" localSheetId="0" hidden="1">Deals!#REF!</definedName>
    <definedName name="solver_rhs4" localSheetId="0" hidden="1">Deals!#REF!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02" i="3" l="1"/>
  <c r="S102" i="3"/>
  <c r="T102" i="3"/>
  <c r="U102" i="3"/>
  <c r="V102" i="3"/>
  <c r="W102" i="3"/>
  <c r="X102" i="3"/>
  <c r="Y102" i="3"/>
  <c r="R103" i="3"/>
  <c r="S103" i="3"/>
  <c r="T103" i="3"/>
  <c r="U103" i="3"/>
  <c r="V103" i="3"/>
  <c r="W103" i="3"/>
  <c r="X103" i="3"/>
  <c r="Y103" i="3"/>
  <c r="R104" i="3"/>
  <c r="S104" i="3"/>
  <c r="T104" i="3"/>
  <c r="U104" i="3"/>
  <c r="V104" i="3"/>
  <c r="W104" i="3"/>
  <c r="X104" i="3"/>
  <c r="Y104" i="3"/>
  <c r="R105" i="3"/>
  <c r="S105" i="3"/>
  <c r="T105" i="3"/>
  <c r="U105" i="3"/>
  <c r="V105" i="3"/>
  <c r="W105" i="3"/>
  <c r="X105" i="3"/>
  <c r="Y105" i="3"/>
  <c r="R106" i="3"/>
  <c r="S106" i="3"/>
  <c r="T106" i="3"/>
  <c r="U106" i="3"/>
  <c r="V106" i="3"/>
  <c r="W106" i="3"/>
  <c r="X106" i="3"/>
  <c r="Y106" i="3"/>
  <c r="R107" i="3"/>
  <c r="S107" i="3"/>
  <c r="T107" i="3"/>
  <c r="U107" i="3"/>
  <c r="V107" i="3"/>
  <c r="W107" i="3"/>
  <c r="X107" i="3"/>
  <c r="Y107" i="3"/>
  <c r="M5" i="3" a="1"/>
  <c r="M5" i="3" s="1"/>
  <c r="N5" i="3" l="1"/>
  <c r="X5" i="3"/>
  <c r="T5" i="3"/>
  <c r="P5" i="3"/>
  <c r="AA5" i="3"/>
  <c r="W5" i="3"/>
  <c r="S5" i="3"/>
  <c r="O5" i="3"/>
  <c r="Z5" i="3"/>
  <c r="V5" i="3"/>
  <c r="R5" i="3"/>
  <c r="AB5" i="3"/>
  <c r="Y5" i="3"/>
  <c r="U5" i="3"/>
  <c r="Q5" i="3"/>
  <c r="F15" i="3" l="1"/>
  <c r="F116" i="3"/>
  <c r="AD15" i="3" a="1"/>
  <c r="AD15" i="3" s="1"/>
  <c r="AD16" i="3" a="1"/>
  <c r="AD16" i="3" s="1"/>
  <c r="F16" i="3" s="1"/>
  <c r="G16" i="3" s="1"/>
  <c r="AD18" i="3" a="1"/>
  <c r="AD18" i="3" s="1"/>
  <c r="AD19" i="3" a="1"/>
  <c r="AD19" i="3" s="1"/>
  <c r="AD20" i="3" a="1"/>
  <c r="AD20" i="3" s="1"/>
  <c r="AD21" i="3" a="1"/>
  <c r="AD21" i="3" s="1"/>
  <c r="AD22" i="3" a="1"/>
  <c r="AD22" i="3" s="1"/>
  <c r="AD23" i="3" a="1"/>
  <c r="AD23" i="3" s="1"/>
  <c r="AD24" i="3" a="1"/>
  <c r="AD24" i="3" s="1"/>
  <c r="AD25" i="3" a="1"/>
  <c r="AD25" i="3" s="1"/>
  <c r="AD26" i="3" a="1"/>
  <c r="AD26" i="3" s="1"/>
  <c r="AD27" i="3" a="1"/>
  <c r="AD27" i="3" s="1"/>
  <c r="AD28" i="3" a="1"/>
  <c r="AD28" i="3" s="1"/>
  <c r="AD29" i="3" a="1"/>
  <c r="AD29" i="3" s="1"/>
  <c r="AD30" i="3" a="1"/>
  <c r="AD30" i="3" s="1"/>
  <c r="AD31" i="3" a="1"/>
  <c r="AD31" i="3" s="1"/>
  <c r="AD32" i="3" a="1"/>
  <c r="AD32" i="3" s="1"/>
  <c r="AD33" i="3" a="1"/>
  <c r="AD33" i="3" s="1"/>
  <c r="AD34" i="3" a="1"/>
  <c r="AD34" i="3" s="1"/>
  <c r="AD35" i="3" a="1"/>
  <c r="AD35" i="3" s="1"/>
  <c r="AD36" i="3" a="1"/>
  <c r="AD36" i="3" s="1"/>
  <c r="AD37" i="3" a="1"/>
  <c r="AD37" i="3" s="1"/>
  <c r="AD38" i="3" a="1"/>
  <c r="AD38" i="3" s="1"/>
  <c r="AD39" i="3" a="1"/>
  <c r="AD39" i="3" s="1"/>
  <c r="F39" i="3" s="1"/>
  <c r="G39" i="3" s="1"/>
  <c r="AD40" i="3" a="1"/>
  <c r="AD40" i="3" s="1"/>
  <c r="F40" i="3" s="1"/>
  <c r="G40" i="3" s="1"/>
  <c r="AD41" i="3" a="1"/>
  <c r="AD41" i="3" s="1"/>
  <c r="F41" i="3" s="1"/>
  <c r="G41" i="3" s="1"/>
  <c r="AD42" i="3" a="1"/>
  <c r="AD42" i="3" s="1"/>
  <c r="F42" i="3" s="1"/>
  <c r="G42" i="3" s="1"/>
  <c r="AD43" i="3" a="1"/>
  <c r="AD43" i="3" s="1"/>
  <c r="F43" i="3" s="1"/>
  <c r="G43" i="3" s="1"/>
  <c r="AD44" i="3" a="1"/>
  <c r="AD44" i="3" s="1"/>
  <c r="F44" i="3" s="1"/>
  <c r="G44" i="3" s="1"/>
  <c r="AD45" i="3" a="1"/>
  <c r="AD45" i="3" s="1"/>
  <c r="F45" i="3" s="1"/>
  <c r="G45" i="3" s="1"/>
  <c r="AD46" i="3" a="1"/>
  <c r="AD46" i="3" s="1"/>
  <c r="F46" i="3" s="1"/>
  <c r="G46" i="3" s="1"/>
  <c r="AD47" i="3" a="1"/>
  <c r="AD47" i="3" s="1"/>
  <c r="F47" i="3" s="1"/>
  <c r="G47" i="3" s="1"/>
  <c r="AD48" i="3" a="1"/>
  <c r="AD48" i="3" s="1"/>
  <c r="F48" i="3" s="1"/>
  <c r="G48" i="3" s="1"/>
  <c r="AD49" i="3" a="1"/>
  <c r="AD49" i="3" s="1"/>
  <c r="F49" i="3" s="1"/>
  <c r="G49" i="3" s="1"/>
  <c r="AD50" i="3" a="1"/>
  <c r="AD50" i="3" s="1"/>
  <c r="F50" i="3" s="1"/>
  <c r="G50" i="3" s="1"/>
  <c r="AD51" i="3" a="1"/>
  <c r="AD51" i="3" s="1"/>
  <c r="F51" i="3" s="1"/>
  <c r="G51" i="3" s="1"/>
  <c r="AD52" i="3" a="1"/>
  <c r="AD52" i="3" s="1"/>
  <c r="F52" i="3" s="1"/>
  <c r="G52" i="3" s="1"/>
  <c r="AD53" i="3" a="1"/>
  <c r="AD53" i="3" s="1"/>
  <c r="F53" i="3" s="1"/>
  <c r="G53" i="3" s="1"/>
  <c r="AD54" i="3" a="1"/>
  <c r="AD54" i="3" s="1"/>
  <c r="F54" i="3" s="1"/>
  <c r="G54" i="3" s="1"/>
  <c r="AD55" i="3" a="1"/>
  <c r="AD55" i="3" s="1"/>
  <c r="F55" i="3" s="1"/>
  <c r="G55" i="3" s="1"/>
  <c r="AD56" i="3" a="1"/>
  <c r="AD56" i="3" s="1"/>
  <c r="F56" i="3" s="1"/>
  <c r="G56" i="3" s="1"/>
  <c r="AD57" i="3" a="1"/>
  <c r="AD57" i="3" s="1"/>
  <c r="F57" i="3" s="1"/>
  <c r="G57" i="3" s="1"/>
  <c r="AD58" i="3" a="1"/>
  <c r="AD58" i="3" s="1"/>
  <c r="F58" i="3" s="1"/>
  <c r="G58" i="3" s="1"/>
  <c r="AD59" i="3" a="1"/>
  <c r="AD59" i="3" s="1"/>
  <c r="F59" i="3" s="1"/>
  <c r="G59" i="3" s="1"/>
  <c r="AD60" i="3" a="1"/>
  <c r="AD60" i="3" s="1"/>
  <c r="F60" i="3" s="1"/>
  <c r="G60" i="3" s="1"/>
  <c r="AD61" i="3" a="1"/>
  <c r="AD61" i="3" s="1"/>
  <c r="F61" i="3" s="1"/>
  <c r="G61" i="3" s="1"/>
  <c r="AD62" i="3" a="1"/>
  <c r="AD62" i="3" s="1"/>
  <c r="F62" i="3" s="1"/>
  <c r="G62" i="3" s="1"/>
  <c r="AD63" i="3" a="1"/>
  <c r="AD63" i="3" s="1"/>
  <c r="F63" i="3" s="1"/>
  <c r="G63" i="3" s="1"/>
  <c r="AD64" i="3" a="1"/>
  <c r="AD64" i="3" s="1"/>
  <c r="F64" i="3" s="1"/>
  <c r="G64" i="3" s="1"/>
  <c r="AD65" i="3" a="1"/>
  <c r="AD65" i="3" s="1"/>
  <c r="F65" i="3" s="1"/>
  <c r="G65" i="3" s="1"/>
  <c r="AD66" i="3" a="1"/>
  <c r="AD66" i="3" s="1"/>
  <c r="F66" i="3" s="1"/>
  <c r="G66" i="3" s="1"/>
  <c r="AD67" i="3" a="1"/>
  <c r="AD67" i="3" s="1"/>
  <c r="F67" i="3" s="1"/>
  <c r="G67" i="3" s="1"/>
  <c r="AD68" i="3" a="1"/>
  <c r="AD68" i="3" s="1"/>
  <c r="F68" i="3" s="1"/>
  <c r="G68" i="3" s="1"/>
  <c r="AD69" i="3" a="1"/>
  <c r="AD69" i="3" s="1"/>
  <c r="F69" i="3" s="1"/>
  <c r="G69" i="3" s="1"/>
  <c r="AD70" i="3" a="1"/>
  <c r="AD70" i="3" s="1"/>
  <c r="F70" i="3" s="1"/>
  <c r="G70" i="3" s="1"/>
  <c r="AD71" i="3" a="1"/>
  <c r="AD71" i="3" s="1"/>
  <c r="F71" i="3" s="1"/>
  <c r="G71" i="3" s="1"/>
  <c r="AD72" i="3" a="1"/>
  <c r="AD72" i="3" s="1"/>
  <c r="F72" i="3" s="1"/>
  <c r="G72" i="3" s="1"/>
  <c r="AD73" i="3" a="1"/>
  <c r="AD73" i="3" s="1"/>
  <c r="F73" i="3" s="1"/>
  <c r="G73" i="3" s="1"/>
  <c r="AD74" i="3" a="1"/>
  <c r="AD74" i="3" s="1"/>
  <c r="F74" i="3" s="1"/>
  <c r="G74" i="3" s="1"/>
  <c r="AD75" i="3" a="1"/>
  <c r="AD75" i="3" s="1"/>
  <c r="F75" i="3" s="1"/>
  <c r="G75" i="3" s="1"/>
  <c r="AD76" i="3" a="1"/>
  <c r="AD76" i="3" s="1"/>
  <c r="F76" i="3" s="1"/>
  <c r="G76" i="3" s="1"/>
  <c r="AD77" i="3" a="1"/>
  <c r="AD77" i="3" s="1"/>
  <c r="F77" i="3" s="1"/>
  <c r="G77" i="3" s="1"/>
  <c r="AD78" i="3" a="1"/>
  <c r="AD78" i="3" s="1"/>
  <c r="F78" i="3" s="1"/>
  <c r="G78" i="3" s="1"/>
  <c r="AD79" i="3" a="1"/>
  <c r="AD79" i="3" s="1"/>
  <c r="F79" i="3" s="1"/>
  <c r="G79" i="3" s="1"/>
  <c r="AD80" i="3" a="1"/>
  <c r="AD80" i="3" s="1"/>
  <c r="F80" i="3" s="1"/>
  <c r="G80" i="3" s="1"/>
  <c r="AD81" i="3" a="1"/>
  <c r="AD81" i="3" s="1"/>
  <c r="F81" i="3" s="1"/>
  <c r="G81" i="3" s="1"/>
  <c r="AD82" i="3" a="1"/>
  <c r="AD82" i="3" s="1"/>
  <c r="F82" i="3" s="1"/>
  <c r="G82" i="3" s="1"/>
  <c r="AD83" i="3" a="1"/>
  <c r="AD83" i="3" s="1"/>
  <c r="F83" i="3" s="1"/>
  <c r="G83" i="3" s="1"/>
  <c r="AD84" i="3" a="1"/>
  <c r="AD84" i="3" s="1"/>
  <c r="F84" i="3" s="1"/>
  <c r="G84" i="3" s="1"/>
  <c r="AD85" i="3" a="1"/>
  <c r="AD85" i="3" s="1"/>
  <c r="F85" i="3" s="1"/>
  <c r="G85" i="3" s="1"/>
  <c r="AD86" i="3" a="1"/>
  <c r="AD86" i="3" s="1"/>
  <c r="F86" i="3" s="1"/>
  <c r="G86" i="3" s="1"/>
  <c r="AD87" i="3" a="1"/>
  <c r="AD87" i="3" s="1"/>
  <c r="F87" i="3" s="1"/>
  <c r="G87" i="3" s="1"/>
  <c r="AD88" i="3" a="1"/>
  <c r="AD88" i="3" s="1"/>
  <c r="F88" i="3" s="1"/>
  <c r="G88" i="3" s="1"/>
  <c r="AD89" i="3" a="1"/>
  <c r="AD89" i="3" s="1"/>
  <c r="F89" i="3" s="1"/>
  <c r="G89" i="3" s="1"/>
  <c r="AD90" i="3" a="1"/>
  <c r="AD90" i="3" s="1"/>
  <c r="F90" i="3" s="1"/>
  <c r="G90" i="3" s="1"/>
  <c r="AD91" i="3" a="1"/>
  <c r="AD91" i="3" s="1"/>
  <c r="F91" i="3" s="1"/>
  <c r="G91" i="3" s="1"/>
  <c r="AD92" i="3" a="1"/>
  <c r="AD92" i="3" s="1"/>
  <c r="F92" i="3" s="1"/>
  <c r="G92" i="3" s="1"/>
  <c r="AD93" i="3" a="1"/>
  <c r="AD93" i="3" s="1"/>
  <c r="F93" i="3" s="1"/>
  <c r="G93" i="3" s="1"/>
  <c r="AD94" i="3" a="1"/>
  <c r="AD94" i="3" s="1"/>
  <c r="F94" i="3" s="1"/>
  <c r="G94" i="3" s="1"/>
  <c r="AD95" i="3" a="1"/>
  <c r="AD95" i="3" s="1"/>
  <c r="F95" i="3" s="1"/>
  <c r="G95" i="3" s="1"/>
  <c r="AD96" i="3" a="1"/>
  <c r="AD96" i="3" s="1"/>
  <c r="F96" i="3" s="1"/>
  <c r="G96" i="3" s="1"/>
  <c r="AD97" i="3" a="1"/>
  <c r="AD97" i="3" s="1"/>
  <c r="AD98" i="3" a="1"/>
  <c r="AD98" i="3" s="1"/>
  <c r="F98" i="3" s="1"/>
  <c r="G98" i="3" s="1"/>
  <c r="AD99" i="3" a="1"/>
  <c r="AD99" i="3" s="1"/>
  <c r="F99" i="3" s="1"/>
  <c r="G99" i="3" s="1"/>
  <c r="AD100" i="3" a="1"/>
  <c r="AD100" i="3" s="1"/>
  <c r="F100" i="3" s="1"/>
  <c r="G100" i="3" s="1"/>
  <c r="AD101" i="3" a="1"/>
  <c r="AD101" i="3" s="1"/>
  <c r="F101" i="3" s="1"/>
  <c r="G101" i="3" s="1"/>
  <c r="AD102" i="3" a="1"/>
  <c r="AD102" i="3" s="1"/>
  <c r="F102" i="3" s="1"/>
  <c r="G102" i="3" s="1"/>
  <c r="AD103" i="3" a="1"/>
  <c r="AD103" i="3" s="1"/>
  <c r="F103" i="3" s="1"/>
  <c r="G103" i="3" s="1"/>
  <c r="AD104" i="3" a="1"/>
  <c r="AD104" i="3" s="1"/>
  <c r="F104" i="3" s="1"/>
  <c r="G104" i="3" s="1"/>
  <c r="AD105" i="3" a="1"/>
  <c r="AD105" i="3" s="1"/>
  <c r="F105" i="3" s="1"/>
  <c r="G105" i="3" s="1"/>
  <c r="AD106" i="3" a="1"/>
  <c r="AD106" i="3" s="1"/>
  <c r="F106" i="3" s="1"/>
  <c r="G106" i="3" s="1"/>
  <c r="AD107" i="3" a="1"/>
  <c r="AD107" i="3" s="1"/>
  <c r="F107" i="3" s="1"/>
  <c r="G107" i="3" s="1"/>
  <c r="AD17" i="3" a="1"/>
  <c r="AD17" i="3" s="1"/>
  <c r="F10" i="3"/>
  <c r="G10" i="3" s="1"/>
  <c r="F11" i="3"/>
  <c r="G11" i="3" s="1"/>
  <c r="F12" i="3"/>
  <c r="G12" i="3" s="1"/>
  <c r="F13" i="3"/>
  <c r="G13" i="3" s="1"/>
  <c r="F14" i="3"/>
  <c r="G14" i="3" s="1"/>
  <c r="D10" i="3"/>
  <c r="D11" i="3"/>
  <c r="D12" i="3"/>
  <c r="D13" i="3"/>
  <c r="D14" i="3"/>
  <c r="D16" i="3"/>
  <c r="AF16" i="3" s="1"/>
  <c r="D17" i="3"/>
  <c r="AF17" i="3" s="1"/>
  <c r="AG17" i="3" s="1"/>
  <c r="D18" i="3"/>
  <c r="AF18" i="3" s="1"/>
  <c r="D19" i="3"/>
  <c r="AF19" i="3" s="1"/>
  <c r="D20" i="3"/>
  <c r="AF20" i="3" s="1"/>
  <c r="D21" i="3"/>
  <c r="AF21" i="3" s="1"/>
  <c r="AG21" i="3" s="1"/>
  <c r="D22" i="3"/>
  <c r="AF22" i="3" s="1"/>
  <c r="D23" i="3"/>
  <c r="AF23" i="3" s="1"/>
  <c r="D24" i="3"/>
  <c r="AF24" i="3" s="1"/>
  <c r="D25" i="3"/>
  <c r="AF25" i="3" s="1"/>
  <c r="D26" i="3"/>
  <c r="AF26" i="3" s="1"/>
  <c r="D27" i="3"/>
  <c r="AF27" i="3" s="1"/>
  <c r="D28" i="3"/>
  <c r="AF28" i="3" s="1"/>
  <c r="D29" i="3"/>
  <c r="AF29" i="3" s="1"/>
  <c r="AG29" i="3" s="1"/>
  <c r="D30" i="3"/>
  <c r="AF30" i="3" s="1"/>
  <c r="D31" i="3"/>
  <c r="AF31" i="3" s="1"/>
  <c r="D32" i="3"/>
  <c r="AF32" i="3" s="1"/>
  <c r="D33" i="3"/>
  <c r="AF33" i="3" s="1"/>
  <c r="AG33" i="3" s="1"/>
  <c r="D34" i="3"/>
  <c r="AF34" i="3" s="1"/>
  <c r="D35" i="3"/>
  <c r="AF35" i="3" s="1"/>
  <c r="D36" i="3"/>
  <c r="AF36" i="3" s="1"/>
  <c r="D37" i="3"/>
  <c r="AF37" i="3" s="1"/>
  <c r="AG37" i="3" s="1"/>
  <c r="D38" i="3"/>
  <c r="AF38" i="3" s="1"/>
  <c r="D39" i="3"/>
  <c r="AF39" i="3" s="1"/>
  <c r="D40" i="3"/>
  <c r="AF40" i="3" s="1"/>
  <c r="D41" i="3"/>
  <c r="AF41" i="3" s="1"/>
  <c r="D42" i="3"/>
  <c r="AF42" i="3" s="1"/>
  <c r="D43" i="3"/>
  <c r="AF43" i="3" s="1"/>
  <c r="D44" i="3"/>
  <c r="AF44" i="3" s="1"/>
  <c r="D45" i="3"/>
  <c r="AF45" i="3" s="1"/>
  <c r="AG45" i="3" s="1"/>
  <c r="D46" i="3"/>
  <c r="AF46" i="3" s="1"/>
  <c r="D47" i="3"/>
  <c r="AF47" i="3" s="1"/>
  <c r="D48" i="3"/>
  <c r="AF48" i="3" s="1"/>
  <c r="D49" i="3"/>
  <c r="AF49" i="3" s="1"/>
  <c r="AG49" i="3" s="1"/>
  <c r="D50" i="3"/>
  <c r="AF50" i="3" s="1"/>
  <c r="D51" i="3"/>
  <c r="AF51" i="3" s="1"/>
  <c r="D52" i="3"/>
  <c r="AF52" i="3" s="1"/>
  <c r="D53" i="3"/>
  <c r="AF53" i="3" s="1"/>
  <c r="AG53" i="3" s="1"/>
  <c r="D54" i="3"/>
  <c r="AF54" i="3" s="1"/>
  <c r="D55" i="3"/>
  <c r="AF55" i="3" s="1"/>
  <c r="D56" i="3"/>
  <c r="AF56" i="3" s="1"/>
  <c r="D57" i="3"/>
  <c r="AF57" i="3" s="1"/>
  <c r="D58" i="3"/>
  <c r="AF58" i="3" s="1"/>
  <c r="D59" i="3"/>
  <c r="AF59" i="3" s="1"/>
  <c r="D60" i="3"/>
  <c r="AF60" i="3" s="1"/>
  <c r="D61" i="3"/>
  <c r="AF61" i="3" s="1"/>
  <c r="AG61" i="3" s="1"/>
  <c r="D62" i="3"/>
  <c r="AF62" i="3" s="1"/>
  <c r="D63" i="3"/>
  <c r="AF63" i="3" s="1"/>
  <c r="D64" i="3"/>
  <c r="AF64" i="3" s="1"/>
  <c r="D65" i="3"/>
  <c r="AF65" i="3" s="1"/>
  <c r="AG65" i="3" s="1"/>
  <c r="D66" i="3"/>
  <c r="AF66" i="3" s="1"/>
  <c r="D67" i="3"/>
  <c r="AF67" i="3" s="1"/>
  <c r="D68" i="3"/>
  <c r="AF68" i="3" s="1"/>
  <c r="D69" i="3"/>
  <c r="AF69" i="3" s="1"/>
  <c r="AG69" i="3" s="1"/>
  <c r="D70" i="3"/>
  <c r="AF70" i="3" s="1"/>
  <c r="D71" i="3"/>
  <c r="AF71" i="3" s="1"/>
  <c r="D72" i="3"/>
  <c r="AF72" i="3" s="1"/>
  <c r="D73" i="3"/>
  <c r="AF73" i="3" s="1"/>
  <c r="D74" i="3"/>
  <c r="AF74" i="3" s="1"/>
  <c r="D75" i="3"/>
  <c r="AF75" i="3" s="1"/>
  <c r="D76" i="3"/>
  <c r="AF76" i="3" s="1"/>
  <c r="D77" i="3"/>
  <c r="AF77" i="3" s="1"/>
  <c r="AG77" i="3" s="1"/>
  <c r="D78" i="3"/>
  <c r="AF78" i="3" s="1"/>
  <c r="D79" i="3"/>
  <c r="AF79" i="3" s="1"/>
  <c r="D80" i="3"/>
  <c r="AF80" i="3" s="1"/>
  <c r="D81" i="3"/>
  <c r="AF81" i="3" s="1"/>
  <c r="AG81" i="3" s="1"/>
  <c r="D82" i="3"/>
  <c r="AF82" i="3" s="1"/>
  <c r="D83" i="3"/>
  <c r="AF83" i="3" s="1"/>
  <c r="D84" i="3"/>
  <c r="AF84" i="3" s="1"/>
  <c r="D85" i="3"/>
  <c r="AF85" i="3" s="1"/>
  <c r="AG85" i="3" s="1"/>
  <c r="D86" i="3"/>
  <c r="AF86" i="3" s="1"/>
  <c r="D87" i="3"/>
  <c r="AF87" i="3" s="1"/>
  <c r="D88" i="3"/>
  <c r="AF88" i="3" s="1"/>
  <c r="D89" i="3"/>
  <c r="AF89" i="3" s="1"/>
  <c r="D90" i="3"/>
  <c r="AF90" i="3" s="1"/>
  <c r="D91" i="3"/>
  <c r="AF91" i="3" s="1"/>
  <c r="D92" i="3"/>
  <c r="AF92" i="3" s="1"/>
  <c r="D93" i="3"/>
  <c r="AF93" i="3" s="1"/>
  <c r="AG93" i="3" s="1"/>
  <c r="D94" i="3"/>
  <c r="AF94" i="3" s="1"/>
  <c r="D95" i="3"/>
  <c r="AF95" i="3" s="1"/>
  <c r="D96" i="3"/>
  <c r="AF96" i="3" s="1"/>
  <c r="D97" i="3"/>
  <c r="AF97" i="3" s="1"/>
  <c r="AG97" i="3" s="1"/>
  <c r="D98" i="3"/>
  <c r="AF98" i="3" s="1"/>
  <c r="D99" i="3"/>
  <c r="AF99" i="3" s="1"/>
  <c r="D100" i="3"/>
  <c r="AF100" i="3" s="1"/>
  <c r="D101" i="3"/>
  <c r="AF101" i="3" s="1"/>
  <c r="D102" i="3"/>
  <c r="AF102" i="3" s="1"/>
  <c r="D103" i="3"/>
  <c r="AF103" i="3" s="1"/>
  <c r="D104" i="3"/>
  <c r="AF104" i="3" s="1"/>
  <c r="D105" i="3"/>
  <c r="AF105" i="3" s="1"/>
  <c r="D106" i="3"/>
  <c r="AF106" i="3" s="1"/>
  <c r="D107" i="3"/>
  <c r="AF107" i="3" s="1"/>
  <c r="D15" i="3"/>
  <c r="AF15" i="3" s="1"/>
  <c r="M1" i="3" a="1"/>
  <c r="M1" i="3" s="1"/>
  <c r="AG102" i="3" l="1"/>
  <c r="AG90" i="3"/>
  <c r="AG82" i="3"/>
  <c r="AG70" i="3"/>
  <c r="AG54" i="3"/>
  <c r="AG46" i="3"/>
  <c r="AG34" i="3"/>
  <c r="AG22" i="3"/>
  <c r="AG15" i="3"/>
  <c r="AG96" i="3"/>
  <c r="AG80" i="3"/>
  <c r="AG64" i="3"/>
  <c r="AG48" i="3"/>
  <c r="AG32" i="3"/>
  <c r="AG107" i="3"/>
  <c r="AG103" i="3"/>
  <c r="AG99" i="3"/>
  <c r="AG95" i="3"/>
  <c r="AG91" i="3"/>
  <c r="AG87" i="3"/>
  <c r="AG83" i="3"/>
  <c r="AG79" i="3"/>
  <c r="AG75" i="3"/>
  <c r="AG71" i="3"/>
  <c r="AG67" i="3"/>
  <c r="AG63" i="3"/>
  <c r="AG59" i="3"/>
  <c r="AG55" i="3"/>
  <c r="AG51" i="3"/>
  <c r="AG47" i="3"/>
  <c r="AG43" i="3"/>
  <c r="AG39" i="3"/>
  <c r="AG35" i="3"/>
  <c r="AG31" i="3"/>
  <c r="AG27" i="3"/>
  <c r="AG23" i="3"/>
  <c r="AG19" i="3"/>
  <c r="AG92" i="3"/>
  <c r="AG76" i="3"/>
  <c r="AG60" i="3"/>
  <c r="AG44" i="3"/>
  <c r="AG28" i="3"/>
  <c r="AG94" i="3"/>
  <c r="AG74" i="3"/>
  <c r="AG62" i="3"/>
  <c r="AG42" i="3"/>
  <c r="AG30" i="3"/>
  <c r="AG18" i="3"/>
  <c r="AG88" i="3"/>
  <c r="AG72" i="3"/>
  <c r="AG56" i="3"/>
  <c r="AG40" i="3"/>
  <c r="AG24" i="3"/>
  <c r="AG104" i="3"/>
  <c r="AG106" i="3"/>
  <c r="AG98" i="3"/>
  <c r="AG86" i="3"/>
  <c r="AG78" i="3"/>
  <c r="AG66" i="3"/>
  <c r="AG58" i="3"/>
  <c r="AG50" i="3"/>
  <c r="AG38" i="3"/>
  <c r="AG26" i="3"/>
  <c r="AG105" i="3"/>
  <c r="AG101" i="3"/>
  <c r="AG100" i="3"/>
  <c r="AG84" i="3"/>
  <c r="AG68" i="3"/>
  <c r="AG52" i="3"/>
  <c r="AG36" i="3"/>
  <c r="AG20" i="3"/>
  <c r="AG89" i="3"/>
  <c r="AG73" i="3"/>
  <c r="AG57" i="3"/>
  <c r="AG41" i="3"/>
  <c r="AG25" i="3"/>
  <c r="AG16" i="3"/>
  <c r="G15" i="3"/>
  <c r="I98" i="3"/>
  <c r="AH98" i="3" s="1"/>
  <c r="F97" i="3"/>
  <c r="G97" i="3" s="1"/>
  <c r="I97" i="3" s="1"/>
  <c r="AH97" i="3" s="1"/>
  <c r="I104" i="3"/>
  <c r="AH104" i="3" s="1"/>
  <c r="I100" i="3"/>
  <c r="AH100" i="3" s="1"/>
  <c r="I96" i="3"/>
  <c r="AH96" i="3" s="1"/>
  <c r="I92" i="3"/>
  <c r="AH92" i="3" s="1"/>
  <c r="I88" i="3"/>
  <c r="AH88" i="3" s="1"/>
  <c r="I84" i="3"/>
  <c r="AH84" i="3" s="1"/>
  <c r="I80" i="3"/>
  <c r="AH80" i="3" s="1"/>
  <c r="I76" i="3"/>
  <c r="AH76" i="3" s="1"/>
  <c r="I72" i="3"/>
  <c r="AH72" i="3" s="1"/>
  <c r="I68" i="3"/>
  <c r="AH68" i="3" s="1"/>
  <c r="I64" i="3"/>
  <c r="AH64" i="3" s="1"/>
  <c r="I60" i="3"/>
  <c r="AH60" i="3" s="1"/>
  <c r="I56" i="3"/>
  <c r="AH56" i="3" s="1"/>
  <c r="I52" i="3"/>
  <c r="AH52" i="3" s="1"/>
  <c r="I48" i="3"/>
  <c r="AH48" i="3" s="1"/>
  <c r="I44" i="3"/>
  <c r="AH44" i="3" s="1"/>
  <c r="I40" i="3"/>
  <c r="AH40" i="3" s="1"/>
  <c r="I106" i="3"/>
  <c r="AH106" i="3" s="1"/>
  <c r="I102" i="3"/>
  <c r="AH102" i="3" s="1"/>
  <c r="I94" i="3"/>
  <c r="AH94" i="3" s="1"/>
  <c r="I90" i="3"/>
  <c r="AH90" i="3" s="1"/>
  <c r="I86" i="3"/>
  <c r="AH86" i="3" s="1"/>
  <c r="I82" i="3"/>
  <c r="AH82" i="3" s="1"/>
  <c r="I78" i="3"/>
  <c r="AH78" i="3" s="1"/>
  <c r="I74" i="3"/>
  <c r="AH74" i="3" s="1"/>
  <c r="I70" i="3"/>
  <c r="AH70" i="3" s="1"/>
  <c r="I66" i="3"/>
  <c r="AH66" i="3" s="1"/>
  <c r="I62" i="3"/>
  <c r="AH62" i="3" s="1"/>
  <c r="I58" i="3"/>
  <c r="AH58" i="3" s="1"/>
  <c r="I54" i="3"/>
  <c r="AH54" i="3" s="1"/>
  <c r="I50" i="3"/>
  <c r="AH50" i="3" s="1"/>
  <c r="I46" i="3"/>
  <c r="AH46" i="3" s="1"/>
  <c r="I42" i="3"/>
  <c r="AH42" i="3" s="1"/>
  <c r="I105" i="3"/>
  <c r="AH105" i="3" s="1"/>
  <c r="I101" i="3"/>
  <c r="AH101" i="3" s="1"/>
  <c r="I93" i="3"/>
  <c r="AH93" i="3" s="1"/>
  <c r="I89" i="3"/>
  <c r="AH89" i="3" s="1"/>
  <c r="I85" i="3"/>
  <c r="AH85" i="3" s="1"/>
  <c r="I81" i="3"/>
  <c r="AH81" i="3" s="1"/>
  <c r="I77" i="3"/>
  <c r="AH77" i="3" s="1"/>
  <c r="I73" i="3"/>
  <c r="AH73" i="3" s="1"/>
  <c r="I69" i="3"/>
  <c r="AH69" i="3" s="1"/>
  <c r="I65" i="3"/>
  <c r="AH65" i="3" s="1"/>
  <c r="I61" i="3"/>
  <c r="AH61" i="3" s="1"/>
  <c r="I57" i="3"/>
  <c r="AH57" i="3" s="1"/>
  <c r="I53" i="3"/>
  <c r="AH53" i="3" s="1"/>
  <c r="I49" i="3"/>
  <c r="AH49" i="3" s="1"/>
  <c r="I45" i="3"/>
  <c r="AH45" i="3" s="1"/>
  <c r="I41" i="3"/>
  <c r="AH41" i="3" s="1"/>
  <c r="I16" i="3"/>
  <c r="AH16" i="3" s="1"/>
  <c r="I15" i="3"/>
  <c r="AH15" i="3" s="1"/>
  <c r="I107" i="3"/>
  <c r="AH107" i="3" s="1"/>
  <c r="I103" i="3"/>
  <c r="AH103" i="3" s="1"/>
  <c r="I99" i="3"/>
  <c r="AH99" i="3" s="1"/>
  <c r="I95" i="3"/>
  <c r="AH95" i="3" s="1"/>
  <c r="I91" i="3"/>
  <c r="AH91" i="3" s="1"/>
  <c r="I87" i="3"/>
  <c r="AH87" i="3" s="1"/>
  <c r="I83" i="3"/>
  <c r="AH83" i="3" s="1"/>
  <c r="I79" i="3"/>
  <c r="AH79" i="3" s="1"/>
  <c r="I75" i="3"/>
  <c r="AH75" i="3" s="1"/>
  <c r="I71" i="3"/>
  <c r="AH71" i="3" s="1"/>
  <c r="I67" i="3"/>
  <c r="AH67" i="3" s="1"/>
  <c r="I63" i="3"/>
  <c r="AH63" i="3" s="1"/>
  <c r="I59" i="3"/>
  <c r="AH59" i="3" s="1"/>
  <c r="I55" i="3"/>
  <c r="AH55" i="3" s="1"/>
  <c r="I51" i="3"/>
  <c r="AH51" i="3" s="1"/>
  <c r="I47" i="3"/>
  <c r="AH47" i="3" s="1"/>
  <c r="I43" i="3"/>
  <c r="AH43" i="3" s="1"/>
  <c r="I39" i="3"/>
  <c r="AH39" i="3" s="1"/>
  <c r="X1" i="3"/>
  <c r="T1" i="3"/>
  <c r="AA1" i="3"/>
  <c r="W1" i="3"/>
  <c r="O1" i="3"/>
  <c r="Z1" i="3"/>
  <c r="V1" i="3"/>
  <c r="R1" i="3"/>
  <c r="N1" i="3"/>
  <c r="AB1" i="3"/>
  <c r="P1" i="3"/>
  <c r="S1" i="3"/>
  <c r="Y1" i="3"/>
  <c r="U1" i="3"/>
  <c r="Q1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5" i="3"/>
  <c r="U30" i="3" l="1"/>
  <c r="U34" i="3"/>
  <c r="U38" i="3"/>
  <c r="U42" i="3"/>
  <c r="U31" i="3"/>
  <c r="U35" i="3"/>
  <c r="U39" i="3"/>
  <c r="U43" i="3"/>
  <c r="U47" i="3"/>
  <c r="U51" i="3"/>
  <c r="U28" i="3"/>
  <c r="U32" i="3"/>
  <c r="U36" i="3"/>
  <c r="U40" i="3"/>
  <c r="U44" i="3"/>
  <c r="U48" i="3"/>
  <c r="U52" i="3"/>
  <c r="U41" i="3"/>
  <c r="U49" i="3"/>
  <c r="U55" i="3"/>
  <c r="U59" i="3"/>
  <c r="U63" i="3"/>
  <c r="U67" i="3"/>
  <c r="U71" i="3"/>
  <c r="U29" i="3"/>
  <c r="U37" i="3"/>
  <c r="U45" i="3"/>
  <c r="U60" i="3"/>
  <c r="U62" i="3"/>
  <c r="U69" i="3"/>
  <c r="U72" i="3"/>
  <c r="U76" i="3"/>
  <c r="U80" i="3"/>
  <c r="U84" i="3"/>
  <c r="U88" i="3"/>
  <c r="U92" i="3"/>
  <c r="U96" i="3"/>
  <c r="U46" i="3"/>
  <c r="U50" i="3"/>
  <c r="U56" i="3"/>
  <c r="U58" i="3"/>
  <c r="U65" i="3"/>
  <c r="U73" i="3"/>
  <c r="U77" i="3"/>
  <c r="U57" i="3"/>
  <c r="U66" i="3"/>
  <c r="U81" i="3"/>
  <c r="U83" i="3"/>
  <c r="U90" i="3"/>
  <c r="U100" i="3"/>
  <c r="U53" i="3"/>
  <c r="U89" i="3"/>
  <c r="U54" i="3"/>
  <c r="U68" i="3"/>
  <c r="U79" i="3"/>
  <c r="U86" i="3"/>
  <c r="U93" i="3"/>
  <c r="U95" i="3"/>
  <c r="U97" i="3"/>
  <c r="U101" i="3"/>
  <c r="U64" i="3"/>
  <c r="U75" i="3"/>
  <c r="U82" i="3"/>
  <c r="U91" i="3"/>
  <c r="U61" i="3"/>
  <c r="U78" i="3"/>
  <c r="U98" i="3"/>
  <c r="U74" i="3"/>
  <c r="U85" i="3"/>
  <c r="U33" i="3"/>
  <c r="U87" i="3"/>
  <c r="U70" i="3"/>
  <c r="U94" i="3"/>
  <c r="U99" i="3"/>
  <c r="Z29" i="3"/>
  <c r="Z33" i="3"/>
  <c r="Z37" i="3"/>
  <c r="Z41" i="3"/>
  <c r="Z30" i="3"/>
  <c r="Z34" i="3"/>
  <c r="Z38" i="3"/>
  <c r="Z42" i="3"/>
  <c r="Z46" i="3"/>
  <c r="Z50" i="3"/>
  <c r="Z31" i="3"/>
  <c r="Z35" i="3"/>
  <c r="Z39" i="3"/>
  <c r="Z43" i="3"/>
  <c r="Z47" i="3"/>
  <c r="Z51" i="3"/>
  <c r="Z32" i="3"/>
  <c r="Z48" i="3"/>
  <c r="Z54" i="3"/>
  <c r="Z58" i="3"/>
  <c r="Z62" i="3"/>
  <c r="Z66" i="3"/>
  <c r="Z70" i="3"/>
  <c r="Z40" i="3"/>
  <c r="Z52" i="3"/>
  <c r="Z60" i="3"/>
  <c r="Z67" i="3"/>
  <c r="Z69" i="3"/>
  <c r="Z71" i="3"/>
  <c r="Z75" i="3"/>
  <c r="Z79" i="3"/>
  <c r="Z83" i="3"/>
  <c r="Z87" i="3"/>
  <c r="Z91" i="3"/>
  <c r="Z95" i="3"/>
  <c r="Z53" i="3"/>
  <c r="Z56" i="3"/>
  <c r="Z63" i="3"/>
  <c r="Z65" i="3"/>
  <c r="Z72" i="3"/>
  <c r="Z76" i="3"/>
  <c r="Z55" i="3"/>
  <c r="Z64" i="3"/>
  <c r="Z81" i="3"/>
  <c r="Z88" i="3"/>
  <c r="Z90" i="3"/>
  <c r="Z99" i="3"/>
  <c r="Z103" i="3"/>
  <c r="Z107" i="3"/>
  <c r="Z82" i="3"/>
  <c r="Z96" i="3"/>
  <c r="Z44" i="3"/>
  <c r="Z49" i="3"/>
  <c r="Z61" i="3"/>
  <c r="Z77" i="3"/>
  <c r="Z84" i="3"/>
  <c r="Z86" i="3"/>
  <c r="Z93" i="3"/>
  <c r="Z100" i="3"/>
  <c r="Z104" i="3"/>
  <c r="Z28" i="3"/>
  <c r="Z57" i="3"/>
  <c r="Z74" i="3"/>
  <c r="Z80" i="3"/>
  <c r="Z89" i="3"/>
  <c r="Z73" i="3"/>
  <c r="Z94" i="3"/>
  <c r="Z97" i="3"/>
  <c r="Z105" i="3"/>
  <c r="Z68" i="3"/>
  <c r="Z78" i="3"/>
  <c r="Z102" i="3"/>
  <c r="Z45" i="3"/>
  <c r="Z59" i="3"/>
  <c r="Z85" i="3"/>
  <c r="Z101" i="3"/>
  <c r="Z36" i="3"/>
  <c r="Z92" i="3"/>
  <c r="Z98" i="3"/>
  <c r="Z106" i="3"/>
  <c r="T31" i="3"/>
  <c r="T35" i="3"/>
  <c r="T39" i="3"/>
  <c r="T43" i="3"/>
  <c r="T28" i="3"/>
  <c r="T32" i="3"/>
  <c r="T36" i="3"/>
  <c r="T40" i="3"/>
  <c r="T44" i="3"/>
  <c r="T48" i="3"/>
  <c r="T52" i="3"/>
  <c r="T29" i="3"/>
  <c r="T33" i="3"/>
  <c r="T37" i="3"/>
  <c r="T41" i="3"/>
  <c r="T45" i="3"/>
  <c r="T49" i="3"/>
  <c r="T53" i="3"/>
  <c r="T30" i="3"/>
  <c r="T46" i="3"/>
  <c r="T56" i="3"/>
  <c r="T60" i="3"/>
  <c r="T64" i="3"/>
  <c r="T68" i="3"/>
  <c r="T34" i="3"/>
  <c r="T42" i="3"/>
  <c r="T50" i="3"/>
  <c r="T58" i="3"/>
  <c r="T65" i="3"/>
  <c r="T67" i="3"/>
  <c r="T73" i="3"/>
  <c r="T77" i="3"/>
  <c r="T81" i="3"/>
  <c r="T85" i="3"/>
  <c r="T89" i="3"/>
  <c r="T93" i="3"/>
  <c r="T51" i="3"/>
  <c r="T54" i="3"/>
  <c r="T61" i="3"/>
  <c r="T63" i="3"/>
  <c r="T70" i="3"/>
  <c r="T74" i="3"/>
  <c r="T62" i="3"/>
  <c r="T71" i="3"/>
  <c r="T76" i="3"/>
  <c r="T79" i="3"/>
  <c r="T86" i="3"/>
  <c r="T88" i="3"/>
  <c r="T95" i="3"/>
  <c r="T97" i="3"/>
  <c r="T101" i="3"/>
  <c r="T55" i="3"/>
  <c r="T69" i="3"/>
  <c r="T80" i="3"/>
  <c r="T38" i="3"/>
  <c r="T59" i="3"/>
  <c r="T75" i="3"/>
  <c r="T82" i="3"/>
  <c r="T84" i="3"/>
  <c r="T91" i="3"/>
  <c r="T98" i="3"/>
  <c r="T72" i="3"/>
  <c r="T78" i="3"/>
  <c r="T87" i="3"/>
  <c r="T94" i="3"/>
  <c r="T96" i="3"/>
  <c r="T83" i="3"/>
  <c r="T90" i="3"/>
  <c r="T100" i="3"/>
  <c r="T66" i="3"/>
  <c r="T92" i="3"/>
  <c r="T99" i="3"/>
  <c r="T47" i="3"/>
  <c r="T57" i="3"/>
  <c r="Y30" i="3"/>
  <c r="Y34" i="3"/>
  <c r="Y38" i="3"/>
  <c r="Y42" i="3"/>
  <c r="Y31" i="3"/>
  <c r="Y35" i="3"/>
  <c r="Y39" i="3"/>
  <c r="Y43" i="3"/>
  <c r="Y47" i="3"/>
  <c r="Y51" i="3"/>
  <c r="Y28" i="3"/>
  <c r="Y32" i="3"/>
  <c r="Y36" i="3"/>
  <c r="Y40" i="3"/>
  <c r="Y44" i="3"/>
  <c r="Y48" i="3"/>
  <c r="Y52" i="3"/>
  <c r="Y37" i="3"/>
  <c r="Y45" i="3"/>
  <c r="Y53" i="3"/>
  <c r="Y55" i="3"/>
  <c r="Y59" i="3"/>
  <c r="Y63" i="3"/>
  <c r="Y67" i="3"/>
  <c r="Y56" i="3"/>
  <c r="Y58" i="3"/>
  <c r="Y65" i="3"/>
  <c r="Y72" i="3"/>
  <c r="Y76" i="3"/>
  <c r="Y80" i="3"/>
  <c r="Y84" i="3"/>
  <c r="Y88" i="3"/>
  <c r="Y92" i="3"/>
  <c r="Y96" i="3"/>
  <c r="Y29" i="3"/>
  <c r="Y49" i="3"/>
  <c r="Y54" i="3"/>
  <c r="Y61" i="3"/>
  <c r="Y68" i="3"/>
  <c r="Y70" i="3"/>
  <c r="Y73" i="3"/>
  <c r="Y77" i="3"/>
  <c r="Y33" i="3"/>
  <c r="Y60" i="3"/>
  <c r="Y69" i="3"/>
  <c r="Y75" i="3"/>
  <c r="Y79" i="3"/>
  <c r="Y86" i="3"/>
  <c r="Y93" i="3"/>
  <c r="Y95" i="3"/>
  <c r="Y100" i="3"/>
  <c r="Y46" i="3"/>
  <c r="Y62" i="3"/>
  <c r="Y78" i="3"/>
  <c r="Y87" i="3"/>
  <c r="Y94" i="3"/>
  <c r="Y41" i="3"/>
  <c r="Y57" i="3"/>
  <c r="Y66" i="3"/>
  <c r="Y74" i="3"/>
  <c r="Y82" i="3"/>
  <c r="Y89" i="3"/>
  <c r="Y91" i="3"/>
  <c r="Y97" i="3"/>
  <c r="Y101" i="3"/>
  <c r="Y71" i="3"/>
  <c r="Y85" i="3"/>
  <c r="Y64" i="3"/>
  <c r="Y81" i="3"/>
  <c r="Y50" i="3"/>
  <c r="Y83" i="3"/>
  <c r="Y99" i="3"/>
  <c r="Y90" i="3"/>
  <c r="Y98" i="3"/>
  <c r="O28" i="3"/>
  <c r="O32" i="3"/>
  <c r="O36" i="3"/>
  <c r="O40" i="3"/>
  <c r="O44" i="3"/>
  <c r="O29" i="3"/>
  <c r="O33" i="3"/>
  <c r="O37" i="3"/>
  <c r="O41" i="3"/>
  <c r="O45" i="3"/>
  <c r="O49" i="3"/>
  <c r="O53" i="3"/>
  <c r="O30" i="3"/>
  <c r="O34" i="3"/>
  <c r="O38" i="3"/>
  <c r="O42" i="3"/>
  <c r="O46" i="3"/>
  <c r="O50" i="3"/>
  <c r="O54" i="3"/>
  <c r="O39" i="3"/>
  <c r="O47" i="3"/>
  <c r="O57" i="3"/>
  <c r="O61" i="3"/>
  <c r="O65" i="3"/>
  <c r="O69" i="3"/>
  <c r="O31" i="3"/>
  <c r="O52" i="3"/>
  <c r="O58" i="3"/>
  <c r="O60" i="3"/>
  <c r="O67" i="3"/>
  <c r="O74" i="3"/>
  <c r="O78" i="3"/>
  <c r="O82" i="3"/>
  <c r="O86" i="3"/>
  <c r="O90" i="3"/>
  <c r="O94" i="3"/>
  <c r="O43" i="3"/>
  <c r="O48" i="3"/>
  <c r="O56" i="3"/>
  <c r="O63" i="3"/>
  <c r="O70" i="3"/>
  <c r="O75" i="3"/>
  <c r="O51" i="3"/>
  <c r="O55" i="3"/>
  <c r="O64" i="3"/>
  <c r="O77" i="3"/>
  <c r="O79" i="3"/>
  <c r="O81" i="3"/>
  <c r="O88" i="3"/>
  <c r="O95" i="3"/>
  <c r="O97" i="3"/>
  <c r="O98" i="3"/>
  <c r="O102" i="3"/>
  <c r="O106" i="3"/>
  <c r="O71" i="3"/>
  <c r="O73" i="3"/>
  <c r="O87" i="3"/>
  <c r="O96" i="3"/>
  <c r="O35" i="3"/>
  <c r="O66" i="3"/>
  <c r="O76" i="3"/>
  <c r="O84" i="3"/>
  <c r="O91" i="3"/>
  <c r="O93" i="3"/>
  <c r="O99" i="3"/>
  <c r="O103" i="3"/>
  <c r="O107" i="3"/>
  <c r="O62" i="3"/>
  <c r="O80" i="3"/>
  <c r="O89" i="3"/>
  <c r="O68" i="3"/>
  <c r="O85" i="3"/>
  <c r="O104" i="3"/>
  <c r="O59" i="3"/>
  <c r="O72" i="3"/>
  <c r="O92" i="3"/>
  <c r="O101" i="3"/>
  <c r="O100" i="3"/>
  <c r="O83" i="3"/>
  <c r="O105" i="3"/>
  <c r="X31" i="3"/>
  <c r="X35" i="3"/>
  <c r="X39" i="3"/>
  <c r="X43" i="3"/>
  <c r="X28" i="3"/>
  <c r="X32" i="3"/>
  <c r="X36" i="3"/>
  <c r="X40" i="3"/>
  <c r="X44" i="3"/>
  <c r="X48" i="3"/>
  <c r="X52" i="3"/>
  <c r="X29" i="3"/>
  <c r="X33" i="3"/>
  <c r="X37" i="3"/>
  <c r="X41" i="3"/>
  <c r="X45" i="3"/>
  <c r="X49" i="3"/>
  <c r="X53" i="3"/>
  <c r="X42" i="3"/>
  <c r="X50" i="3"/>
  <c r="X56" i="3"/>
  <c r="X60" i="3"/>
  <c r="X64" i="3"/>
  <c r="X68" i="3"/>
  <c r="X54" i="3"/>
  <c r="X61" i="3"/>
  <c r="X63" i="3"/>
  <c r="X70" i="3"/>
  <c r="X73" i="3"/>
  <c r="X77" i="3"/>
  <c r="X81" i="3"/>
  <c r="X85" i="3"/>
  <c r="X89" i="3"/>
  <c r="X93" i="3"/>
  <c r="X34" i="3"/>
  <c r="X57" i="3"/>
  <c r="X59" i="3"/>
  <c r="X66" i="3"/>
  <c r="X74" i="3"/>
  <c r="X30" i="3"/>
  <c r="X47" i="3"/>
  <c r="X65" i="3"/>
  <c r="X72" i="3"/>
  <c r="X82" i="3"/>
  <c r="X84" i="3"/>
  <c r="X91" i="3"/>
  <c r="X97" i="3"/>
  <c r="X101" i="3"/>
  <c r="X38" i="3"/>
  <c r="X51" i="3"/>
  <c r="X58" i="3"/>
  <c r="X67" i="3"/>
  <c r="X83" i="3"/>
  <c r="X92" i="3"/>
  <c r="X46" i="3"/>
  <c r="X62" i="3"/>
  <c r="X71" i="3"/>
  <c r="X78" i="3"/>
  <c r="X80" i="3"/>
  <c r="X87" i="3"/>
  <c r="X94" i="3"/>
  <c r="X96" i="3"/>
  <c r="X98" i="3"/>
  <c r="X76" i="3"/>
  <c r="X90" i="3"/>
  <c r="X86" i="3"/>
  <c r="X99" i="3"/>
  <c r="X55" i="3"/>
  <c r="X88" i="3"/>
  <c r="X69" i="3"/>
  <c r="X95" i="3"/>
  <c r="X75" i="3"/>
  <c r="X79" i="3"/>
  <c r="X100" i="3"/>
  <c r="S28" i="3"/>
  <c r="S32" i="3"/>
  <c r="S36" i="3"/>
  <c r="S40" i="3"/>
  <c r="S44" i="3"/>
  <c r="S29" i="3"/>
  <c r="S33" i="3"/>
  <c r="S37" i="3"/>
  <c r="S41" i="3"/>
  <c r="S45" i="3"/>
  <c r="S49" i="3"/>
  <c r="S53" i="3"/>
  <c r="S30" i="3"/>
  <c r="S34" i="3"/>
  <c r="S38" i="3"/>
  <c r="S42" i="3"/>
  <c r="S46" i="3"/>
  <c r="S50" i="3"/>
  <c r="S35" i="3"/>
  <c r="S51" i="3"/>
  <c r="S57" i="3"/>
  <c r="S61" i="3"/>
  <c r="S65" i="3"/>
  <c r="S69" i="3"/>
  <c r="S39" i="3"/>
  <c r="S54" i="3"/>
  <c r="S56" i="3"/>
  <c r="S63" i="3"/>
  <c r="S70" i="3"/>
  <c r="S74" i="3"/>
  <c r="S78" i="3"/>
  <c r="S82" i="3"/>
  <c r="S86" i="3"/>
  <c r="S90" i="3"/>
  <c r="S94" i="3"/>
  <c r="S31" i="3"/>
  <c r="S47" i="3"/>
  <c r="S59" i="3"/>
  <c r="S66" i="3"/>
  <c r="S68" i="3"/>
  <c r="S75" i="3"/>
  <c r="S58" i="3"/>
  <c r="S67" i="3"/>
  <c r="S73" i="3"/>
  <c r="S84" i="3"/>
  <c r="S91" i="3"/>
  <c r="S93" i="3"/>
  <c r="S98" i="3"/>
  <c r="S60" i="3"/>
  <c r="S85" i="3"/>
  <c r="S48" i="3"/>
  <c r="S55" i="3"/>
  <c r="S64" i="3"/>
  <c r="S72" i="3"/>
  <c r="S80" i="3"/>
  <c r="S87" i="3"/>
  <c r="S89" i="3"/>
  <c r="S96" i="3"/>
  <c r="S99" i="3"/>
  <c r="S77" i="3"/>
  <c r="S83" i="3"/>
  <c r="S92" i="3"/>
  <c r="S71" i="3"/>
  <c r="S76" i="3"/>
  <c r="S88" i="3"/>
  <c r="S100" i="3"/>
  <c r="S43" i="3"/>
  <c r="S62" i="3"/>
  <c r="S95" i="3"/>
  <c r="S52" i="3"/>
  <c r="S79" i="3"/>
  <c r="S97" i="3"/>
  <c r="S81" i="3"/>
  <c r="S101" i="3"/>
  <c r="R29" i="3"/>
  <c r="R33" i="3"/>
  <c r="R37" i="3"/>
  <c r="R41" i="3"/>
  <c r="R30" i="3"/>
  <c r="R34" i="3"/>
  <c r="R38" i="3"/>
  <c r="R42" i="3"/>
  <c r="R46" i="3"/>
  <c r="R50" i="3"/>
  <c r="R31" i="3"/>
  <c r="R35" i="3"/>
  <c r="R39" i="3"/>
  <c r="R43" i="3"/>
  <c r="R47" i="3"/>
  <c r="R51" i="3"/>
  <c r="R40" i="3"/>
  <c r="R48" i="3"/>
  <c r="R54" i="3"/>
  <c r="R58" i="3"/>
  <c r="R62" i="3"/>
  <c r="R66" i="3"/>
  <c r="R70" i="3"/>
  <c r="R44" i="3"/>
  <c r="R59" i="3"/>
  <c r="R61" i="3"/>
  <c r="R68" i="3"/>
  <c r="R75" i="3"/>
  <c r="R79" i="3"/>
  <c r="R83" i="3"/>
  <c r="R87" i="3"/>
  <c r="R91" i="3"/>
  <c r="R95" i="3"/>
  <c r="R28" i="3"/>
  <c r="R36" i="3"/>
  <c r="R52" i="3"/>
  <c r="R55" i="3"/>
  <c r="R57" i="3"/>
  <c r="R64" i="3"/>
  <c r="R71" i="3"/>
  <c r="R72" i="3"/>
  <c r="R76" i="3"/>
  <c r="R49" i="3"/>
  <c r="R63" i="3"/>
  <c r="R80" i="3"/>
  <c r="R82" i="3"/>
  <c r="R89" i="3"/>
  <c r="R96" i="3"/>
  <c r="R99" i="3"/>
  <c r="R32" i="3"/>
  <c r="R65" i="3"/>
  <c r="R81" i="3"/>
  <c r="R90" i="3"/>
  <c r="R97" i="3"/>
  <c r="R53" i="3"/>
  <c r="R60" i="3"/>
  <c r="R69" i="3"/>
  <c r="R77" i="3"/>
  <c r="R78" i="3"/>
  <c r="R85" i="3"/>
  <c r="R92" i="3"/>
  <c r="R94" i="3"/>
  <c r="R100" i="3"/>
  <c r="R45" i="3"/>
  <c r="R56" i="3"/>
  <c r="R74" i="3"/>
  <c r="R88" i="3"/>
  <c r="R93" i="3"/>
  <c r="R84" i="3"/>
  <c r="R101" i="3"/>
  <c r="R67" i="3"/>
  <c r="R73" i="3"/>
  <c r="R86" i="3"/>
  <c r="R98" i="3"/>
  <c r="W28" i="3"/>
  <c r="W32" i="3"/>
  <c r="W36" i="3"/>
  <c r="W40" i="3"/>
  <c r="W44" i="3"/>
  <c r="W29" i="3"/>
  <c r="W33" i="3"/>
  <c r="W37" i="3"/>
  <c r="W41" i="3"/>
  <c r="W45" i="3"/>
  <c r="W49" i="3"/>
  <c r="W53" i="3"/>
  <c r="W30" i="3"/>
  <c r="W34" i="3"/>
  <c r="W38" i="3"/>
  <c r="W42" i="3"/>
  <c r="W46" i="3"/>
  <c r="W50" i="3"/>
  <c r="W31" i="3"/>
  <c r="W47" i="3"/>
  <c r="W57" i="3"/>
  <c r="W61" i="3"/>
  <c r="W65" i="3"/>
  <c r="W69" i="3"/>
  <c r="W48" i="3"/>
  <c r="W59" i="3"/>
  <c r="W66" i="3"/>
  <c r="W68" i="3"/>
  <c r="W74" i="3"/>
  <c r="W78" i="3"/>
  <c r="W82" i="3"/>
  <c r="W86" i="3"/>
  <c r="W90" i="3"/>
  <c r="W94" i="3"/>
  <c r="W39" i="3"/>
  <c r="W55" i="3"/>
  <c r="W62" i="3"/>
  <c r="W64" i="3"/>
  <c r="W71" i="3"/>
  <c r="W75" i="3"/>
  <c r="W43" i="3"/>
  <c r="W52" i="3"/>
  <c r="W56" i="3"/>
  <c r="W70" i="3"/>
  <c r="W77" i="3"/>
  <c r="W80" i="3"/>
  <c r="W87" i="3"/>
  <c r="W89" i="3"/>
  <c r="W96" i="3"/>
  <c r="W98" i="3"/>
  <c r="W35" i="3"/>
  <c r="W63" i="3"/>
  <c r="W79" i="3"/>
  <c r="W81" i="3"/>
  <c r="W88" i="3"/>
  <c r="W95" i="3"/>
  <c r="W51" i="3"/>
  <c r="W58" i="3"/>
  <c r="W67" i="3"/>
  <c r="W76" i="3"/>
  <c r="W83" i="3"/>
  <c r="W85" i="3"/>
  <c r="W92" i="3"/>
  <c r="W99" i="3"/>
  <c r="W54" i="3"/>
  <c r="W73" i="3"/>
  <c r="W91" i="3"/>
  <c r="W93" i="3"/>
  <c r="W101" i="3"/>
  <c r="W72" i="3"/>
  <c r="W100" i="3"/>
  <c r="W60" i="3"/>
  <c r="W84" i="3"/>
  <c r="W97" i="3"/>
  <c r="Q30" i="3"/>
  <c r="Q34" i="3"/>
  <c r="Q38" i="3"/>
  <c r="Q42" i="3"/>
  <c r="Q31" i="3"/>
  <c r="Q35" i="3"/>
  <c r="Q39" i="3"/>
  <c r="Q43" i="3"/>
  <c r="Q47" i="3"/>
  <c r="Q51" i="3"/>
  <c r="Q28" i="3"/>
  <c r="Q32" i="3"/>
  <c r="Q36" i="3"/>
  <c r="Q40" i="3"/>
  <c r="Q44" i="3"/>
  <c r="Q48" i="3"/>
  <c r="Q52" i="3"/>
  <c r="Q29" i="3"/>
  <c r="Q45" i="3"/>
  <c r="Q53" i="3"/>
  <c r="Q55" i="3"/>
  <c r="Q59" i="3"/>
  <c r="Q63" i="3"/>
  <c r="Q67" i="3"/>
  <c r="Q71" i="3"/>
  <c r="Q46" i="3"/>
  <c r="Q57" i="3"/>
  <c r="Q64" i="3"/>
  <c r="Q66" i="3"/>
  <c r="Q72" i="3"/>
  <c r="Q76" i="3"/>
  <c r="Q80" i="3"/>
  <c r="Q84" i="3"/>
  <c r="Q88" i="3"/>
  <c r="Q92" i="3"/>
  <c r="Q96" i="3"/>
  <c r="Q33" i="3"/>
  <c r="Q41" i="3"/>
  <c r="Q60" i="3"/>
  <c r="Q62" i="3"/>
  <c r="Q69" i="3"/>
  <c r="Q73" i="3"/>
  <c r="Q77" i="3"/>
  <c r="Q37" i="3"/>
  <c r="Q54" i="3"/>
  <c r="Q68" i="3"/>
  <c r="Q75" i="3"/>
  <c r="Q78" i="3"/>
  <c r="Q85" i="3"/>
  <c r="Q87" i="3"/>
  <c r="Q94" i="3"/>
  <c r="Q100" i="3"/>
  <c r="Q104" i="3"/>
  <c r="Q86" i="3"/>
  <c r="Q93" i="3"/>
  <c r="Q56" i="3"/>
  <c r="Q65" i="3"/>
  <c r="Q74" i="3"/>
  <c r="Q81" i="3"/>
  <c r="Q83" i="3"/>
  <c r="Q90" i="3"/>
  <c r="Q97" i="3"/>
  <c r="Q101" i="3"/>
  <c r="Q105" i="3"/>
  <c r="Q50" i="3"/>
  <c r="Q61" i="3"/>
  <c r="Q70" i="3"/>
  <c r="Q79" i="3"/>
  <c r="Q95" i="3"/>
  <c r="Q49" i="3"/>
  <c r="Q58" i="3"/>
  <c r="Q102" i="3"/>
  <c r="Q82" i="3"/>
  <c r="Q99" i="3"/>
  <c r="Q107" i="3"/>
  <c r="Q89" i="3"/>
  <c r="Q98" i="3"/>
  <c r="Q106" i="3"/>
  <c r="Q91" i="3"/>
  <c r="Q103" i="3"/>
  <c r="P31" i="3"/>
  <c r="P35" i="3"/>
  <c r="P39" i="3"/>
  <c r="P43" i="3"/>
  <c r="P28" i="3"/>
  <c r="P32" i="3"/>
  <c r="P36" i="3"/>
  <c r="P40" i="3"/>
  <c r="P44" i="3"/>
  <c r="P48" i="3"/>
  <c r="P52" i="3"/>
  <c r="P29" i="3"/>
  <c r="P33" i="3"/>
  <c r="P37" i="3"/>
  <c r="P41" i="3"/>
  <c r="P45" i="3"/>
  <c r="P49" i="3"/>
  <c r="P53" i="3"/>
  <c r="P34" i="3"/>
  <c r="P50" i="3"/>
  <c r="P56" i="3"/>
  <c r="P60" i="3"/>
  <c r="P64" i="3"/>
  <c r="P68" i="3"/>
  <c r="P47" i="3"/>
  <c r="P51" i="3"/>
  <c r="P55" i="3"/>
  <c r="P62" i="3"/>
  <c r="P69" i="3"/>
  <c r="P71" i="3"/>
  <c r="P73" i="3"/>
  <c r="P77" i="3"/>
  <c r="P81" i="3"/>
  <c r="P85" i="3"/>
  <c r="P89" i="3"/>
  <c r="P93" i="3"/>
  <c r="P97" i="3"/>
  <c r="P38" i="3"/>
  <c r="P58" i="3"/>
  <c r="P65" i="3"/>
  <c r="P67" i="3"/>
  <c r="P74" i="3"/>
  <c r="P46" i="3"/>
  <c r="P59" i="3"/>
  <c r="P72" i="3"/>
  <c r="P83" i="3"/>
  <c r="P90" i="3"/>
  <c r="P92" i="3"/>
  <c r="P101" i="3"/>
  <c r="P105" i="3"/>
  <c r="P42" i="3"/>
  <c r="P57" i="3"/>
  <c r="P76" i="3"/>
  <c r="P91" i="3"/>
  <c r="P61" i="3"/>
  <c r="P70" i="3"/>
  <c r="P79" i="3"/>
  <c r="P86" i="3"/>
  <c r="P88" i="3"/>
  <c r="P95" i="3"/>
  <c r="P98" i="3"/>
  <c r="P102" i="3"/>
  <c r="P106" i="3"/>
  <c r="P66" i="3"/>
  <c r="P82" i="3"/>
  <c r="P84" i="3"/>
  <c r="P80" i="3"/>
  <c r="P99" i="3"/>
  <c r="P107" i="3"/>
  <c r="P30" i="3"/>
  <c r="P87" i="3"/>
  <c r="P104" i="3"/>
  <c r="P63" i="3"/>
  <c r="P75" i="3"/>
  <c r="P94" i="3"/>
  <c r="P103" i="3"/>
  <c r="P54" i="3"/>
  <c r="P78" i="3"/>
  <c r="P96" i="3"/>
  <c r="P100" i="3"/>
  <c r="V29" i="3"/>
  <c r="V33" i="3"/>
  <c r="V37" i="3"/>
  <c r="V41" i="3"/>
  <c r="V30" i="3"/>
  <c r="V34" i="3"/>
  <c r="V38" i="3"/>
  <c r="V42" i="3"/>
  <c r="V46" i="3"/>
  <c r="V50" i="3"/>
  <c r="V31" i="3"/>
  <c r="V35" i="3"/>
  <c r="V39" i="3"/>
  <c r="V43" i="3"/>
  <c r="V47" i="3"/>
  <c r="V51" i="3"/>
  <c r="V36" i="3"/>
  <c r="V52" i="3"/>
  <c r="V54" i="3"/>
  <c r="V58" i="3"/>
  <c r="V62" i="3"/>
  <c r="V66" i="3"/>
  <c r="V70" i="3"/>
  <c r="V32" i="3"/>
  <c r="V49" i="3"/>
  <c r="V53" i="3"/>
  <c r="V55" i="3"/>
  <c r="V57" i="3"/>
  <c r="V64" i="3"/>
  <c r="V71" i="3"/>
  <c r="V75" i="3"/>
  <c r="V79" i="3"/>
  <c r="V83" i="3"/>
  <c r="V87" i="3"/>
  <c r="V91" i="3"/>
  <c r="V95" i="3"/>
  <c r="V44" i="3"/>
  <c r="V45" i="3"/>
  <c r="V60" i="3"/>
  <c r="V67" i="3"/>
  <c r="V69" i="3"/>
  <c r="V72" i="3"/>
  <c r="V76" i="3"/>
  <c r="V40" i="3"/>
  <c r="V61" i="3"/>
  <c r="V74" i="3"/>
  <c r="V78" i="3"/>
  <c r="V85" i="3"/>
  <c r="V92" i="3"/>
  <c r="V94" i="3"/>
  <c r="V99" i="3"/>
  <c r="V84" i="3"/>
  <c r="V28" i="3"/>
  <c r="V63" i="3"/>
  <c r="V73" i="3"/>
  <c r="V81" i="3"/>
  <c r="V88" i="3"/>
  <c r="V90" i="3"/>
  <c r="V100" i="3"/>
  <c r="V48" i="3"/>
  <c r="V59" i="3"/>
  <c r="V68" i="3"/>
  <c r="V86" i="3"/>
  <c r="V93" i="3"/>
  <c r="V97" i="3"/>
  <c r="V96" i="3"/>
  <c r="V101" i="3"/>
  <c r="V65" i="3"/>
  <c r="V80" i="3"/>
  <c r="V98" i="3"/>
  <c r="V56" i="3"/>
  <c r="V77" i="3"/>
  <c r="V82" i="3"/>
  <c r="V89" i="3"/>
  <c r="AA28" i="3"/>
  <c r="AA32" i="3"/>
  <c r="AA36" i="3"/>
  <c r="AA40" i="3"/>
  <c r="AA44" i="3"/>
  <c r="AA29" i="3"/>
  <c r="AA33" i="3"/>
  <c r="AA37" i="3"/>
  <c r="AA41" i="3"/>
  <c r="AA45" i="3"/>
  <c r="AA49" i="3"/>
  <c r="AA53" i="3"/>
  <c r="AA30" i="3"/>
  <c r="AA34" i="3"/>
  <c r="AA38" i="3"/>
  <c r="AA42" i="3"/>
  <c r="AA46" i="3"/>
  <c r="AA50" i="3"/>
  <c r="AA43" i="3"/>
  <c r="AA51" i="3"/>
  <c r="AA57" i="3"/>
  <c r="AA61" i="3"/>
  <c r="AA65" i="3"/>
  <c r="AA69" i="3"/>
  <c r="AA35" i="3"/>
  <c r="AA47" i="3"/>
  <c r="AA55" i="3"/>
  <c r="AA62" i="3"/>
  <c r="AA64" i="3"/>
  <c r="AA74" i="3"/>
  <c r="AA78" i="3"/>
  <c r="AA82" i="3"/>
  <c r="AA86" i="3"/>
  <c r="AA90" i="3"/>
  <c r="AA94" i="3"/>
  <c r="AA48" i="3"/>
  <c r="AA52" i="3"/>
  <c r="AA58" i="3"/>
  <c r="AA60" i="3"/>
  <c r="AA67" i="3"/>
  <c r="AA71" i="3"/>
  <c r="AA75" i="3"/>
  <c r="AA59" i="3"/>
  <c r="AA68" i="3"/>
  <c r="AA73" i="3"/>
  <c r="AA83" i="3"/>
  <c r="AA85" i="3"/>
  <c r="AA92" i="3"/>
  <c r="AA98" i="3"/>
  <c r="AA102" i="3"/>
  <c r="AA106" i="3"/>
  <c r="AA66" i="3"/>
  <c r="AA77" i="3"/>
  <c r="AA91" i="3"/>
  <c r="AA93" i="3"/>
  <c r="AA31" i="3"/>
  <c r="AA56" i="3"/>
  <c r="AA70" i="3"/>
  <c r="AA72" i="3"/>
  <c r="AA79" i="3"/>
  <c r="AA81" i="3"/>
  <c r="AA88" i="3"/>
  <c r="AA95" i="3"/>
  <c r="AA99" i="3"/>
  <c r="AA103" i="3"/>
  <c r="AA107" i="3"/>
  <c r="AA84" i="3"/>
  <c r="AA39" i="3"/>
  <c r="AA54" i="3"/>
  <c r="AA89" i="3"/>
  <c r="AA100" i="3"/>
  <c r="AA76" i="3"/>
  <c r="AA96" i="3"/>
  <c r="AA97" i="3"/>
  <c r="AA105" i="3"/>
  <c r="AA80" i="3"/>
  <c r="AA104" i="3"/>
  <c r="AA63" i="3"/>
  <c r="AA87" i="3"/>
  <c r="AA101" i="3"/>
  <c r="S14" i="3"/>
  <c r="S19" i="3"/>
  <c r="S23" i="3"/>
  <c r="S27" i="3"/>
  <c r="S11" i="3"/>
  <c r="S15" i="3"/>
  <c r="S20" i="3"/>
  <c r="S24" i="3"/>
  <c r="S12" i="3"/>
  <c r="S16" i="3"/>
  <c r="S21" i="3"/>
  <c r="S25" i="3"/>
  <c r="S18" i="3"/>
  <c r="S13" i="3"/>
  <c r="S22" i="3"/>
  <c r="S26" i="3"/>
  <c r="S17" i="3"/>
  <c r="W14" i="3"/>
  <c r="W19" i="3"/>
  <c r="W23" i="3"/>
  <c r="W27" i="3"/>
  <c r="W11" i="3"/>
  <c r="W15" i="3"/>
  <c r="W20" i="3"/>
  <c r="W24" i="3"/>
  <c r="W12" i="3"/>
  <c r="W16" i="3"/>
  <c r="W21" i="3"/>
  <c r="W25" i="3"/>
  <c r="W18" i="3"/>
  <c r="W22" i="3"/>
  <c r="W13" i="3"/>
  <c r="W26" i="3"/>
  <c r="W17" i="3"/>
  <c r="V11" i="3"/>
  <c r="V15" i="3"/>
  <c r="V20" i="3"/>
  <c r="V24" i="3"/>
  <c r="V12" i="3"/>
  <c r="V16" i="3"/>
  <c r="V21" i="3"/>
  <c r="V25" i="3"/>
  <c r="V13" i="3"/>
  <c r="V17" i="3"/>
  <c r="V18" i="3"/>
  <c r="V22" i="3"/>
  <c r="V26" i="3"/>
  <c r="V14" i="3"/>
  <c r="V23" i="3"/>
  <c r="V27" i="3"/>
  <c r="V19" i="3"/>
  <c r="AA14" i="3"/>
  <c r="AA19" i="3"/>
  <c r="AA23" i="3"/>
  <c r="AA27" i="3"/>
  <c r="AA11" i="3"/>
  <c r="AA15" i="3"/>
  <c r="AA20" i="3"/>
  <c r="AA24" i="3"/>
  <c r="AA12" i="3"/>
  <c r="AA16" i="3"/>
  <c r="AA17" i="3"/>
  <c r="AA21" i="3"/>
  <c r="AA25" i="3"/>
  <c r="AA26" i="3"/>
  <c r="AA18" i="3"/>
  <c r="AA22" i="3"/>
  <c r="AA13" i="3"/>
  <c r="U12" i="3"/>
  <c r="U16" i="3"/>
  <c r="U21" i="3"/>
  <c r="U25" i="3"/>
  <c r="U13" i="3"/>
  <c r="U17" i="3"/>
  <c r="U18" i="3"/>
  <c r="U22" i="3"/>
  <c r="U26" i="3"/>
  <c r="U14" i="3"/>
  <c r="U19" i="3"/>
  <c r="U23" i="3"/>
  <c r="U27" i="3"/>
  <c r="U11" i="3"/>
  <c r="U20" i="3"/>
  <c r="U15" i="3"/>
  <c r="U24" i="3"/>
  <c r="Z11" i="3"/>
  <c r="Z15" i="3"/>
  <c r="Z20" i="3"/>
  <c r="Z24" i="3"/>
  <c r="Z12" i="3"/>
  <c r="Z16" i="3"/>
  <c r="Z17" i="3"/>
  <c r="Z21" i="3"/>
  <c r="Z25" i="3"/>
  <c r="Z13" i="3"/>
  <c r="Z18" i="3"/>
  <c r="Z22" i="3"/>
  <c r="Z26" i="3"/>
  <c r="Z19" i="3"/>
  <c r="Z14" i="3"/>
  <c r="Z23" i="3"/>
  <c r="Z27" i="3"/>
  <c r="T13" i="3"/>
  <c r="T17" i="3"/>
  <c r="T18" i="3"/>
  <c r="T22" i="3"/>
  <c r="T26" i="3"/>
  <c r="T14" i="3"/>
  <c r="T19" i="3"/>
  <c r="T23" i="3"/>
  <c r="T27" i="3"/>
  <c r="T11" i="3"/>
  <c r="T15" i="3"/>
  <c r="T20" i="3"/>
  <c r="T24" i="3"/>
  <c r="T16" i="3"/>
  <c r="T25" i="3"/>
  <c r="T12" i="3"/>
  <c r="T21" i="3"/>
  <c r="Y12" i="3"/>
  <c r="Y16" i="3"/>
  <c r="Y17" i="3"/>
  <c r="Y21" i="3"/>
  <c r="Y25" i="3"/>
  <c r="Y13" i="3"/>
  <c r="Y18" i="3"/>
  <c r="Y22" i="3"/>
  <c r="Y26" i="3"/>
  <c r="Y14" i="3"/>
  <c r="Y19" i="3"/>
  <c r="Y23" i="3"/>
  <c r="Y27" i="3"/>
  <c r="Y11" i="3"/>
  <c r="Y20" i="3"/>
  <c r="Y15" i="3"/>
  <c r="Y24" i="3"/>
  <c r="X13" i="3"/>
  <c r="X18" i="3"/>
  <c r="X22" i="3"/>
  <c r="X26" i="3"/>
  <c r="X14" i="3"/>
  <c r="X19" i="3"/>
  <c r="X23" i="3"/>
  <c r="X27" i="3"/>
  <c r="X11" i="3"/>
  <c r="X15" i="3"/>
  <c r="X20" i="3"/>
  <c r="X24" i="3"/>
  <c r="X12" i="3"/>
  <c r="X21" i="3"/>
  <c r="X16" i="3"/>
  <c r="X25" i="3"/>
  <c r="X17" i="3"/>
  <c r="M17" i="3"/>
  <c r="M15" i="3"/>
  <c r="M13" i="3"/>
  <c r="M11" i="3"/>
  <c r="M16" i="3"/>
  <c r="M14" i="3"/>
  <c r="M12" i="3"/>
  <c r="M98" i="3"/>
  <c r="M102" i="3"/>
  <c r="M101" i="3"/>
  <c r="M105" i="3"/>
  <c r="M100" i="3"/>
  <c r="M104" i="3"/>
  <c r="M99" i="3"/>
  <c r="M106" i="3"/>
  <c r="M107" i="3"/>
  <c r="M103" i="3"/>
  <c r="L14" i="3"/>
  <c r="L13" i="3"/>
  <c r="L12" i="3"/>
  <c r="L11" i="3"/>
  <c r="L10" i="3"/>
  <c r="M4" i="3" a="1"/>
  <c r="AB4" i="3" s="1"/>
  <c r="M3" i="3" a="1"/>
  <c r="Y3" i="3" s="1"/>
  <c r="M2" i="3" a="1"/>
  <c r="Z2" i="3" s="1"/>
  <c r="R13" i="3" l="1"/>
  <c r="R15" i="3"/>
  <c r="R10" i="3"/>
  <c r="R12" i="3"/>
  <c r="R16" i="3"/>
  <c r="R11" i="3"/>
  <c r="R17" i="3"/>
  <c r="O11" i="3"/>
  <c r="O15" i="3"/>
  <c r="O17" i="3"/>
  <c r="O10" i="3"/>
  <c r="O12" i="3"/>
  <c r="O14" i="3"/>
  <c r="O16" i="3"/>
  <c r="P11" i="3"/>
  <c r="P13" i="3"/>
  <c r="P15" i="3"/>
  <c r="P17" i="3"/>
  <c r="P10" i="3"/>
  <c r="P12" i="3"/>
  <c r="P14" i="3"/>
  <c r="P16" i="3"/>
  <c r="N17" i="3"/>
  <c r="N10" i="3"/>
  <c r="N12" i="3"/>
  <c r="N14" i="3"/>
  <c r="N16" i="3"/>
  <c r="N13" i="3"/>
  <c r="N15" i="3"/>
  <c r="Q10" i="3"/>
  <c r="Q14" i="3"/>
  <c r="Q16" i="3"/>
  <c r="Q11" i="3"/>
  <c r="Q13" i="3"/>
  <c r="Q15" i="3"/>
  <c r="Q17" i="3"/>
  <c r="N99" i="3"/>
  <c r="N103" i="3"/>
  <c r="N98" i="3"/>
  <c r="N102" i="3"/>
  <c r="N106" i="3"/>
  <c r="N101" i="3"/>
  <c r="N105" i="3"/>
  <c r="N100" i="3"/>
  <c r="N107" i="3"/>
  <c r="N104" i="3"/>
  <c r="O2" i="3"/>
  <c r="N3" i="3"/>
  <c r="S2" i="3"/>
  <c r="R3" i="3"/>
  <c r="W2" i="3"/>
  <c r="R4" i="3"/>
  <c r="M4" i="3"/>
  <c r="U4" i="3"/>
  <c r="AA2" i="3"/>
  <c r="V3" i="3"/>
  <c r="N4" i="3"/>
  <c r="V4" i="3"/>
  <c r="Z4" i="3"/>
  <c r="Z3" i="3"/>
  <c r="Q4" i="3"/>
  <c r="Y4" i="3"/>
  <c r="P2" i="3"/>
  <c r="T2" i="3"/>
  <c r="X2" i="3"/>
  <c r="AB2" i="3"/>
  <c r="O3" i="3"/>
  <c r="S3" i="3"/>
  <c r="W3" i="3"/>
  <c r="AA3" i="3"/>
  <c r="AB7" i="3"/>
  <c r="P3" i="3"/>
  <c r="T3" i="3"/>
  <c r="X3" i="3"/>
  <c r="AB3" i="3"/>
  <c r="O4" i="3"/>
  <c r="S4" i="3"/>
  <c r="S7" i="3" s="1"/>
  <c r="W4" i="3"/>
  <c r="AA4" i="3"/>
  <c r="M2" i="3"/>
  <c r="Q2" i="3"/>
  <c r="U2" i="3"/>
  <c r="Y2" i="3"/>
  <c r="N2" i="3"/>
  <c r="R2" i="3"/>
  <c r="V2" i="3"/>
  <c r="M3" i="3"/>
  <c r="Q3" i="3"/>
  <c r="U3" i="3"/>
  <c r="P4" i="3"/>
  <c r="T4" i="3"/>
  <c r="X4" i="3"/>
  <c r="AC14" i="3" l="1"/>
  <c r="AF14" i="3" s="1"/>
  <c r="AC13" i="3"/>
  <c r="AC12" i="3"/>
  <c r="AF12" i="3" s="1"/>
  <c r="AC11" i="3"/>
  <c r="AF11" i="3" s="1"/>
  <c r="AC101" i="3"/>
  <c r="AE101" i="3" s="1"/>
  <c r="AC107" i="3"/>
  <c r="AE107" i="3" s="1"/>
  <c r="AC106" i="3"/>
  <c r="AE106" i="3" s="1"/>
  <c r="AC104" i="3"/>
  <c r="AE104" i="3" s="1"/>
  <c r="AC105" i="3"/>
  <c r="AE105" i="3" s="1"/>
  <c r="AC99" i="3"/>
  <c r="AE99" i="3" s="1"/>
  <c r="AC100" i="3"/>
  <c r="AE100" i="3" s="1"/>
  <c r="AC102" i="3"/>
  <c r="AE102" i="3" s="1"/>
  <c r="AC103" i="3"/>
  <c r="AE103" i="3" s="1"/>
  <c r="AC98" i="3"/>
  <c r="AE98" i="3" s="1"/>
  <c r="Q7" i="3"/>
  <c r="R22" i="3"/>
  <c r="AB97" i="3"/>
  <c r="R26" i="3"/>
  <c r="R27" i="3"/>
  <c r="R21" i="3"/>
  <c r="Z7" i="3"/>
  <c r="V10" i="3"/>
  <c r="X10" i="3"/>
  <c r="U7" i="3"/>
  <c r="V7" i="3"/>
  <c r="AA7" i="3"/>
  <c r="M94" i="3"/>
  <c r="M87" i="3"/>
  <c r="M91" i="3"/>
  <c r="M86" i="3"/>
  <c r="M73" i="3"/>
  <c r="M95" i="3"/>
  <c r="M70" i="3"/>
  <c r="M61" i="3"/>
  <c r="M53" i="3"/>
  <c r="M64" i="3"/>
  <c r="M56" i="3"/>
  <c r="M46" i="3"/>
  <c r="M38" i="3"/>
  <c r="M30" i="3"/>
  <c r="M22" i="3"/>
  <c r="M52" i="3"/>
  <c r="M45" i="3"/>
  <c r="M36" i="3"/>
  <c r="M29" i="3"/>
  <c r="M20" i="3"/>
  <c r="M18" i="3"/>
  <c r="X7" i="3"/>
  <c r="O7" i="3"/>
  <c r="AC4" i="3"/>
  <c r="R7" i="3"/>
  <c r="P7" i="3"/>
  <c r="W7" i="3"/>
  <c r="Q26" i="3"/>
  <c r="Q24" i="3"/>
  <c r="Q22" i="3"/>
  <c r="Q21" i="3"/>
  <c r="Q27" i="3"/>
  <c r="Q25" i="3"/>
  <c r="Q23" i="3"/>
  <c r="Q20" i="3"/>
  <c r="Q19" i="3"/>
  <c r="Q18" i="3"/>
  <c r="O25" i="3"/>
  <c r="O23" i="3"/>
  <c r="O19" i="3"/>
  <c r="Y7" i="3"/>
  <c r="AC5" i="3"/>
  <c r="T7" i="3"/>
  <c r="N7" i="3"/>
  <c r="M7" i="3"/>
  <c r="N96" i="3"/>
  <c r="N94" i="3"/>
  <c r="N92" i="3"/>
  <c r="N90" i="3"/>
  <c r="N89" i="3"/>
  <c r="N87" i="3"/>
  <c r="N85" i="3"/>
  <c r="N97" i="3"/>
  <c r="N95" i="3"/>
  <c r="N93" i="3"/>
  <c r="N91" i="3"/>
  <c r="N88" i="3"/>
  <c r="N86" i="3"/>
  <c r="N84" i="3"/>
  <c r="N79" i="3"/>
  <c r="N77" i="3"/>
  <c r="N75" i="3"/>
  <c r="N73" i="3"/>
  <c r="N71" i="3"/>
  <c r="N69" i="3"/>
  <c r="N67" i="3"/>
  <c r="N81" i="3"/>
  <c r="N83" i="3"/>
  <c r="N80" i="3"/>
  <c r="N78" i="3"/>
  <c r="N76" i="3"/>
  <c r="N74" i="3"/>
  <c r="N72" i="3"/>
  <c r="N70" i="3"/>
  <c r="N68" i="3"/>
  <c r="N82" i="3"/>
  <c r="N64" i="3"/>
  <c r="N62" i="3"/>
  <c r="N60" i="3"/>
  <c r="N58" i="3"/>
  <c r="N56" i="3"/>
  <c r="N54" i="3"/>
  <c r="N52" i="3"/>
  <c r="N50" i="3"/>
  <c r="N65" i="3"/>
  <c r="N61" i="3"/>
  <c r="N57" i="3"/>
  <c r="N53" i="3"/>
  <c r="N21" i="3"/>
  <c r="N51" i="3"/>
  <c r="N49" i="3"/>
  <c r="N47" i="3"/>
  <c r="N45" i="3"/>
  <c r="N43" i="3"/>
  <c r="N41" i="3"/>
  <c r="N39" i="3"/>
  <c r="N36" i="3"/>
  <c r="N34" i="3"/>
  <c r="N33" i="3"/>
  <c r="N31" i="3"/>
  <c r="N29" i="3"/>
  <c r="N27" i="3"/>
  <c r="N25" i="3"/>
  <c r="N23" i="3"/>
  <c r="N63" i="3"/>
  <c r="N59" i="3"/>
  <c r="N55" i="3"/>
  <c r="N20" i="3"/>
  <c r="N46" i="3"/>
  <c r="N66" i="3"/>
  <c r="N48" i="3"/>
  <c r="N44" i="3"/>
  <c r="N40" i="3"/>
  <c r="N37" i="3"/>
  <c r="N30" i="3"/>
  <c r="N26" i="3"/>
  <c r="N22" i="3"/>
  <c r="N19" i="3"/>
  <c r="N35" i="3"/>
  <c r="N32" i="3"/>
  <c r="N18" i="3"/>
  <c r="N42" i="3"/>
  <c r="N38" i="3"/>
  <c r="N28" i="3"/>
  <c r="N24" i="3"/>
  <c r="AE13" i="3" l="1"/>
  <c r="AF13" i="3"/>
  <c r="R24" i="3"/>
  <c r="R18" i="3"/>
  <c r="AB59" i="3"/>
  <c r="O21" i="3"/>
  <c r="O26" i="3"/>
  <c r="AB93" i="3"/>
  <c r="AB15" i="3"/>
  <c r="AB9" i="3" s="1"/>
  <c r="O20" i="3"/>
  <c r="O22" i="3"/>
  <c r="O27" i="3"/>
  <c r="AB19" i="3"/>
  <c r="AB40" i="3"/>
  <c r="AB74" i="3"/>
  <c r="AB24" i="3"/>
  <c r="AB77" i="3"/>
  <c r="O18" i="3"/>
  <c r="O24" i="3"/>
  <c r="AB23" i="3"/>
  <c r="AB58" i="3"/>
  <c r="AB90" i="3"/>
  <c r="AB25" i="3"/>
  <c r="AB27" i="3"/>
  <c r="AB18" i="3"/>
  <c r="AB26" i="3"/>
  <c r="AB42" i="3"/>
  <c r="AB62" i="3"/>
  <c r="AB61" i="3"/>
  <c r="AB79" i="3"/>
  <c r="AB76" i="3"/>
  <c r="AB92" i="3"/>
  <c r="AB95" i="3"/>
  <c r="AB12" i="3"/>
  <c r="AB16" i="3"/>
  <c r="AB41" i="3"/>
  <c r="AB56" i="3"/>
  <c r="AB32" i="3"/>
  <c r="AB48" i="3"/>
  <c r="AB51" i="3"/>
  <c r="AB69" i="3"/>
  <c r="AB66" i="3"/>
  <c r="AB83" i="3"/>
  <c r="AB84" i="3"/>
  <c r="AB17" i="3"/>
  <c r="AB45" i="3"/>
  <c r="AB60" i="3"/>
  <c r="AB35" i="3"/>
  <c r="AB50" i="3"/>
  <c r="AB53" i="3"/>
  <c r="AB71" i="3"/>
  <c r="AB68" i="3"/>
  <c r="AB85" i="3"/>
  <c r="AB86" i="3"/>
  <c r="AB29" i="3"/>
  <c r="AB33" i="3"/>
  <c r="AB31" i="3"/>
  <c r="AB43" i="3"/>
  <c r="AB21" i="3"/>
  <c r="AB64" i="3"/>
  <c r="AB28" i="3"/>
  <c r="AB37" i="3"/>
  <c r="AB44" i="3"/>
  <c r="AB20" i="3"/>
  <c r="AB65" i="3"/>
  <c r="AB55" i="3"/>
  <c r="AB63" i="3"/>
  <c r="AB73" i="3"/>
  <c r="AB81" i="3"/>
  <c r="AB70" i="3"/>
  <c r="AB78" i="3"/>
  <c r="AB87" i="3"/>
  <c r="AB94" i="3"/>
  <c r="AB88" i="3"/>
  <c r="P27" i="3"/>
  <c r="P18" i="3"/>
  <c r="AA10" i="3"/>
  <c r="AA9" i="3" s="1"/>
  <c r="W10" i="3"/>
  <c r="AB14" i="3"/>
  <c r="AB10" i="3"/>
  <c r="S10" i="3"/>
  <c r="AB36" i="3"/>
  <c r="AB39" i="3"/>
  <c r="AB34" i="3"/>
  <c r="AB47" i="3"/>
  <c r="AB52" i="3"/>
  <c r="AB22" i="3"/>
  <c r="AB30" i="3"/>
  <c r="AB38" i="3"/>
  <c r="AB46" i="3"/>
  <c r="AB54" i="3"/>
  <c r="AB49" i="3"/>
  <c r="AB57" i="3"/>
  <c r="AB67" i="3"/>
  <c r="AB75" i="3"/>
  <c r="AB82" i="3"/>
  <c r="AB72" i="3"/>
  <c r="AB80" i="3"/>
  <c r="AB89" i="3"/>
  <c r="AB96" i="3"/>
  <c r="AB91" i="3"/>
  <c r="P26" i="3"/>
  <c r="AB11" i="3"/>
  <c r="P22" i="3"/>
  <c r="P19" i="3"/>
  <c r="P23" i="3"/>
  <c r="P21" i="3"/>
  <c r="P25" i="3"/>
  <c r="P20" i="3"/>
  <c r="P24" i="3"/>
  <c r="T10" i="3"/>
  <c r="Y10" i="3"/>
  <c r="AB13" i="3"/>
  <c r="M19" i="3"/>
  <c r="M23" i="3"/>
  <c r="M31" i="3"/>
  <c r="M39" i="3"/>
  <c r="M47" i="3"/>
  <c r="M68" i="3"/>
  <c r="M24" i="3"/>
  <c r="M32" i="3"/>
  <c r="M40" i="3"/>
  <c r="M48" i="3"/>
  <c r="M58" i="3"/>
  <c r="M74" i="3"/>
  <c r="M55" i="3"/>
  <c r="M63" i="3"/>
  <c r="M78" i="3"/>
  <c r="M67" i="3"/>
  <c r="M75" i="3"/>
  <c r="M93" i="3"/>
  <c r="M81" i="3"/>
  <c r="M89" i="3"/>
  <c r="M96" i="3"/>
  <c r="M25" i="3"/>
  <c r="M33" i="3"/>
  <c r="M41" i="3"/>
  <c r="M49" i="3"/>
  <c r="M21" i="3"/>
  <c r="M26" i="3"/>
  <c r="M35" i="3"/>
  <c r="M42" i="3"/>
  <c r="M50" i="3"/>
  <c r="M60" i="3"/>
  <c r="M72" i="3"/>
  <c r="M57" i="3"/>
  <c r="M65" i="3"/>
  <c r="M97" i="3"/>
  <c r="M69" i="3"/>
  <c r="M77" i="3"/>
  <c r="M82" i="3"/>
  <c r="M83" i="3"/>
  <c r="M90" i="3"/>
  <c r="M27" i="3"/>
  <c r="M34" i="3"/>
  <c r="M43" i="3"/>
  <c r="M51" i="3"/>
  <c r="M76" i="3"/>
  <c r="M28" i="3"/>
  <c r="M37" i="3"/>
  <c r="M44" i="3"/>
  <c r="M54" i="3"/>
  <c r="M62" i="3"/>
  <c r="M80" i="3"/>
  <c r="M59" i="3"/>
  <c r="M66" i="3"/>
  <c r="M88" i="3"/>
  <c r="M71" i="3"/>
  <c r="M79" i="3"/>
  <c r="M84" i="3"/>
  <c r="M85" i="3"/>
  <c r="M92" i="3"/>
  <c r="Z10" i="3"/>
  <c r="U10" i="3"/>
  <c r="R19" i="3"/>
  <c r="R25" i="3"/>
  <c r="R23" i="3"/>
  <c r="R20" i="3"/>
  <c r="N9" i="3"/>
  <c r="N8" i="3" s="1"/>
  <c r="AC7" i="3"/>
  <c r="AC10" i="3" l="1"/>
  <c r="AC87" i="3"/>
  <c r="AE87" i="3" s="1"/>
  <c r="AC60" i="3"/>
  <c r="AE60" i="3" s="1"/>
  <c r="AC45" i="3"/>
  <c r="AE45" i="3" s="1"/>
  <c r="AC64" i="3"/>
  <c r="AE64" i="3" s="1"/>
  <c r="AC61" i="3"/>
  <c r="AE61" i="3" s="1"/>
  <c r="AC52" i="3"/>
  <c r="AC86" i="3"/>
  <c r="AE86" i="3" s="1"/>
  <c r="AC94" i="3"/>
  <c r="AE94" i="3" s="1"/>
  <c r="AC91" i="3"/>
  <c r="AE91" i="3" s="1"/>
  <c r="AC56" i="3"/>
  <c r="AE56" i="3" s="1"/>
  <c r="AC46" i="3"/>
  <c r="AE46" i="3" s="1"/>
  <c r="AC73" i="3"/>
  <c r="AE73" i="3" s="1"/>
  <c r="AC84" i="3"/>
  <c r="AE84" i="3" s="1"/>
  <c r="AC66" i="3"/>
  <c r="AE66" i="3" s="1"/>
  <c r="AC54" i="3"/>
  <c r="AE54" i="3" s="1"/>
  <c r="AC76" i="3"/>
  <c r="AE76" i="3" s="1"/>
  <c r="AC77" i="3"/>
  <c r="AE77" i="3" s="1"/>
  <c r="AC42" i="3"/>
  <c r="AE42" i="3" s="1"/>
  <c r="AC49" i="3"/>
  <c r="AE49" i="3" s="1"/>
  <c r="AC89" i="3"/>
  <c r="AE89" i="3" s="1"/>
  <c r="AC39" i="3"/>
  <c r="AE39" i="3" s="1"/>
  <c r="AC53" i="3"/>
  <c r="AE53" i="3" s="1"/>
  <c r="AC70" i="3"/>
  <c r="AE70" i="3" s="1"/>
  <c r="AC95" i="3"/>
  <c r="AE95" i="3" s="1"/>
  <c r="AC79" i="3"/>
  <c r="AE79" i="3" s="1"/>
  <c r="AC59" i="3"/>
  <c r="AE59" i="3" s="1"/>
  <c r="AC44" i="3"/>
  <c r="AE44" i="3" s="1"/>
  <c r="AC51" i="3"/>
  <c r="AE51" i="3" s="1"/>
  <c r="AC90" i="3"/>
  <c r="AE90" i="3" s="1"/>
  <c r="AC69" i="3"/>
  <c r="AE69" i="3" s="1"/>
  <c r="AC72" i="3"/>
  <c r="AE72" i="3" s="1"/>
  <c r="AC41" i="3"/>
  <c r="AE41" i="3" s="1"/>
  <c r="AC81" i="3"/>
  <c r="AE81" i="3" s="1"/>
  <c r="AC78" i="3"/>
  <c r="AE78" i="3" s="1"/>
  <c r="AC58" i="3"/>
  <c r="AE58" i="3" s="1"/>
  <c r="AC15" i="3"/>
  <c r="AE15" i="3" s="1"/>
  <c r="AC57" i="3"/>
  <c r="AE57" i="3" s="1"/>
  <c r="AC71" i="3"/>
  <c r="AE71" i="3" s="1"/>
  <c r="AC97" i="3"/>
  <c r="AE97" i="3" s="1"/>
  <c r="AC63" i="3"/>
  <c r="AE63" i="3" s="1"/>
  <c r="AC16" i="3"/>
  <c r="AE16" i="3" s="1"/>
  <c r="AC67" i="3"/>
  <c r="AE67" i="3" s="1"/>
  <c r="AC74" i="3"/>
  <c r="AE74" i="3" s="1"/>
  <c r="AC92" i="3"/>
  <c r="AE92" i="3" s="1"/>
  <c r="AC80" i="3"/>
  <c r="AE80" i="3" s="1"/>
  <c r="AC43" i="3"/>
  <c r="AE43" i="3" s="1"/>
  <c r="AC83" i="3"/>
  <c r="AE83" i="3" s="1"/>
  <c r="AC93" i="3"/>
  <c r="AE93" i="3" s="1"/>
  <c r="AC48" i="3"/>
  <c r="AE48" i="3" s="1"/>
  <c r="AC68" i="3"/>
  <c r="AE68" i="3" s="1"/>
  <c r="AC85" i="3"/>
  <c r="AE85" i="3" s="1"/>
  <c r="AC88" i="3"/>
  <c r="AE88" i="3" s="1"/>
  <c r="AC62" i="3"/>
  <c r="AE62" i="3" s="1"/>
  <c r="AC82" i="3"/>
  <c r="AE82" i="3" s="1"/>
  <c r="AC65" i="3"/>
  <c r="AE65" i="3" s="1"/>
  <c r="AC50" i="3"/>
  <c r="AE50" i="3" s="1"/>
  <c r="AC96" i="3"/>
  <c r="AE96" i="3" s="1"/>
  <c r="AC75" i="3"/>
  <c r="AE75" i="3" s="1"/>
  <c r="AC55" i="3"/>
  <c r="AE55" i="3" s="1"/>
  <c r="AC40" i="3"/>
  <c r="AE40" i="3" s="1"/>
  <c r="AC47" i="3"/>
  <c r="AE47" i="3" s="1"/>
  <c r="M9" i="3"/>
  <c r="M8" i="3" s="1"/>
  <c r="P9" i="3"/>
  <c r="P8" i="3" s="1"/>
  <c r="O9" i="3"/>
  <c r="O8" i="3" s="1"/>
  <c r="Q9" i="3"/>
  <c r="Q8" i="3" s="1"/>
  <c r="R9" i="3"/>
  <c r="R8" i="3" s="1"/>
  <c r="AE10" i="3" l="1"/>
  <c r="AF10" i="3"/>
  <c r="AF9" i="3" s="1"/>
  <c r="AE52" i="3"/>
  <c r="AE14" i="3"/>
  <c r="AE11" i="3"/>
  <c r="AE12" i="3"/>
  <c r="AH9" i="3" l="1"/>
  <c r="F17" i="3" l="1"/>
  <c r="G17" i="3" s="1"/>
  <c r="I17" i="3" s="1"/>
  <c r="AH17" i="3" s="1"/>
  <c r="AC17" i="3" l="1"/>
  <c r="AE17" i="3" s="1"/>
  <c r="F30" i="3" l="1"/>
  <c r="G30" i="3" s="1"/>
  <c r="I30" i="3" s="1"/>
  <c r="F27" i="3"/>
  <c r="G27" i="3" s="1"/>
  <c r="I27" i="3" s="1"/>
  <c r="F33" i="3"/>
  <c r="G33" i="3" s="1"/>
  <c r="I33" i="3" s="1"/>
  <c r="F36" i="3"/>
  <c r="G36" i="3" s="1"/>
  <c r="I36" i="3" s="1"/>
  <c r="F38" i="3"/>
  <c r="G38" i="3" s="1"/>
  <c r="I38" i="3" s="1"/>
  <c r="F29" i="3"/>
  <c r="G29" i="3" s="1"/>
  <c r="I29" i="3" s="1"/>
  <c r="F35" i="3"/>
  <c r="G35" i="3" s="1"/>
  <c r="I35" i="3" s="1"/>
  <c r="F19" i="3"/>
  <c r="G19" i="3" s="1"/>
  <c r="I19" i="3" s="1"/>
  <c r="AH19" i="3" s="1"/>
  <c r="F20" i="3"/>
  <c r="G20" i="3" s="1"/>
  <c r="I20" i="3" s="1"/>
  <c r="F22" i="3"/>
  <c r="G22" i="3" s="1"/>
  <c r="I22" i="3" s="1"/>
  <c r="F24" i="3"/>
  <c r="G24" i="3" s="1"/>
  <c r="I24" i="3" s="1"/>
  <c r="F26" i="3"/>
  <c r="G26" i="3" s="1"/>
  <c r="I26" i="3" s="1"/>
  <c r="F32" i="3"/>
  <c r="G32" i="3" s="1"/>
  <c r="I32" i="3" s="1"/>
  <c r="F28" i="3"/>
  <c r="G28" i="3" s="1"/>
  <c r="I28" i="3" s="1"/>
  <c r="F31" i="3"/>
  <c r="G31" i="3" s="1"/>
  <c r="I31" i="3" s="1"/>
  <c r="F37" i="3"/>
  <c r="G37" i="3" s="1"/>
  <c r="I37" i="3" s="1"/>
  <c r="F25" i="3"/>
  <c r="G25" i="3" s="1"/>
  <c r="I25" i="3" s="1"/>
  <c r="F34" i="3"/>
  <c r="G34" i="3" s="1"/>
  <c r="I34" i="3" s="1"/>
  <c r="AH34" i="3" s="1"/>
  <c r="F23" i="3"/>
  <c r="G23" i="3" s="1"/>
  <c r="I23" i="3" s="1"/>
  <c r="F21" i="3"/>
  <c r="G21" i="3" s="1"/>
  <c r="I21" i="3" s="1"/>
  <c r="F18" i="3"/>
  <c r="G18" i="3" s="1"/>
  <c r="I18" i="3" s="1"/>
  <c r="AH18" i="3" s="1"/>
  <c r="AC23" i="3" l="1"/>
  <c r="AE23" i="3" s="1"/>
  <c r="AH23" i="3"/>
  <c r="AC35" i="3"/>
  <c r="AH35" i="3"/>
  <c r="AC33" i="3"/>
  <c r="AE33" i="3" s="1"/>
  <c r="AH33" i="3"/>
  <c r="AC28" i="3"/>
  <c r="AE28" i="3" s="1"/>
  <c r="AH28" i="3"/>
  <c r="AC22" i="3"/>
  <c r="AE22" i="3" s="1"/>
  <c r="AH22" i="3"/>
  <c r="AC29" i="3"/>
  <c r="AE29" i="3" s="1"/>
  <c r="AH29" i="3"/>
  <c r="AC27" i="3"/>
  <c r="AH27" i="3"/>
  <c r="AC24" i="3"/>
  <c r="AE24" i="3" s="1"/>
  <c r="AH24" i="3"/>
  <c r="AC25" i="3"/>
  <c r="AE25" i="3" s="1"/>
  <c r="AH25" i="3"/>
  <c r="AC32" i="3"/>
  <c r="AH32" i="3"/>
  <c r="AC20" i="3"/>
  <c r="AE20" i="3" s="1"/>
  <c r="AH20" i="3"/>
  <c r="AC38" i="3"/>
  <c r="AE38" i="3" s="1"/>
  <c r="AH38" i="3"/>
  <c r="AC30" i="3"/>
  <c r="AE30" i="3" s="1"/>
  <c r="AH30" i="3"/>
  <c r="AC31" i="3"/>
  <c r="AE31" i="3" s="1"/>
  <c r="AH31" i="3"/>
  <c r="AC21" i="3"/>
  <c r="AE21" i="3" s="1"/>
  <c r="AH21" i="3"/>
  <c r="AC37" i="3"/>
  <c r="AE37" i="3" s="1"/>
  <c r="AH37" i="3"/>
  <c r="AC26" i="3"/>
  <c r="AH26" i="3"/>
  <c r="AC36" i="3"/>
  <c r="AH36" i="3"/>
  <c r="AC34" i="3"/>
  <c r="AE34" i="3" s="1"/>
  <c r="AC19" i="3"/>
  <c r="AE19" i="3" s="1"/>
  <c r="S9" i="3"/>
  <c r="S8" i="3" s="1"/>
  <c r="Z9" i="3"/>
  <c r="Z8" i="3" s="1"/>
  <c r="AE27" i="3"/>
  <c r="AE35" i="3"/>
  <c r="W9" i="3"/>
  <c r="W8" i="3" s="1"/>
  <c r="AC18" i="3"/>
  <c r="AE18" i="3" s="1"/>
  <c r="V9" i="3"/>
  <c r="V8" i="3" s="1"/>
  <c r="T9" i="3"/>
  <c r="T8" i="3" s="1"/>
  <c r="Y9" i="3"/>
  <c r="Y8" i="3" s="1"/>
  <c r="X9" i="3"/>
  <c r="X8" i="3" s="1"/>
  <c r="U9" i="3"/>
  <c r="U8" i="3" s="1"/>
  <c r="AE36" i="3" l="1"/>
  <c r="AE26" i="3"/>
  <c r="AE32" i="3"/>
  <c r="AI3" i="3"/>
  <c r="AC9" i="3"/>
  <c r="AG9" i="3" s="1"/>
  <c r="AE9" i="3" l="1"/>
</calcChain>
</file>

<file path=xl/sharedStrings.xml><?xml version="1.0" encoding="utf-8"?>
<sst xmlns="http://schemas.openxmlformats.org/spreadsheetml/2006/main" count="513" uniqueCount="184">
  <si>
    <t>Purchaser</t>
  </si>
  <si>
    <t>Purchase Amount</t>
  </si>
  <si>
    <t>Allocated ITC</t>
  </si>
  <si>
    <t>Steve Holman</t>
  </si>
  <si>
    <t>Ted Elliott</t>
  </si>
  <si>
    <t>Robert Curtis</t>
  </si>
  <si>
    <t>Brad DeJean</t>
  </si>
  <si>
    <t>Accounts</t>
  </si>
  <si>
    <t>PACE loan amount</t>
  </si>
  <si>
    <t>Deal type</t>
  </si>
  <si>
    <t>Total</t>
  </si>
  <si>
    <t>Total Package value</t>
  </si>
  <si>
    <t>Dan Cousin</t>
  </si>
  <si>
    <t>O&amp;M Cost</t>
  </si>
  <si>
    <t>Preference</t>
  </si>
  <si>
    <t>Pending ITC to Allocate</t>
  </si>
  <si>
    <t>Nidhi Kapila</t>
  </si>
  <si>
    <t>Output:</t>
  </si>
  <si>
    <t>PPA</t>
  </si>
  <si>
    <t>Prepay</t>
  </si>
  <si>
    <t>Sytem Size</t>
  </si>
  <si>
    <t>ID</t>
  </si>
  <si>
    <t>Martin Gitlin</t>
  </si>
  <si>
    <t>Vishwa Raj (Walters CPA)</t>
  </si>
  <si>
    <t>Donald Allen Jones (Walters CPA)</t>
  </si>
  <si>
    <t>Jesse Noboa (Scott Fedyshyn)</t>
  </si>
  <si>
    <t>Kenneth Liszewski (Walters CPA)</t>
  </si>
  <si>
    <t>Purchaser Probability</t>
  </si>
  <si>
    <t>Weighted Avg. Unallocated ITC</t>
  </si>
  <si>
    <t>Preferences</t>
  </si>
  <si>
    <t>Expected Year</t>
  </si>
  <si>
    <t>Overallocation Percentage</t>
  </si>
  <si>
    <t>Test 1</t>
  </si>
  <si>
    <t>Test 2</t>
  </si>
  <si>
    <t>Test 3</t>
  </si>
  <si>
    <t>Unallocated</t>
  </si>
  <si>
    <t>y</t>
  </si>
  <si>
    <t>x</t>
  </si>
  <si>
    <t>Discount</t>
  </si>
  <si>
    <t>ITC Value</t>
  </si>
  <si>
    <t>Purchase Cost</t>
  </si>
  <si>
    <t>Total (incl. O&amp;M)</t>
  </si>
  <si>
    <t>Purchase Value Real</t>
  </si>
  <si>
    <t>Real Purchaser</t>
  </si>
  <si>
    <t>Difference Real vs optimal</t>
  </si>
  <si>
    <t>No Discount</t>
  </si>
  <si>
    <t>Difference optimal vs No Discount</t>
  </si>
  <si>
    <t>Difference real vs No Discount</t>
  </si>
  <si>
    <t>Differences</t>
  </si>
  <si>
    <t>$ -</t>
  </si>
  <si>
    <t>Cash Amount</t>
  </si>
  <si>
    <t>Allocated ITC
Paid</t>
  </si>
  <si>
    <t>Allocated ITC
Pending Payment</t>
  </si>
  <si>
    <t>OPV Energy Holdings LLC</t>
  </si>
  <si>
    <t>YMPR LLC</t>
  </si>
  <si>
    <t>Noboa Solar</t>
  </si>
  <si>
    <t>SOLADAN LLC</t>
  </si>
  <si>
    <t>CleanFuture Energy Holdings LLC</t>
  </si>
  <si>
    <t>BSD Energy Holdings LLC</t>
  </si>
  <si>
    <t>RN Squared LLC</t>
  </si>
  <si>
    <t>KAPSOL LLC</t>
  </si>
  <si>
    <t>MG Ventures, LLC</t>
  </si>
  <si>
    <t>KSL Investments LLC</t>
  </si>
  <si>
    <t>Donald Allen Jones</t>
  </si>
  <si>
    <t>Project PPA 1</t>
  </si>
  <si>
    <t>Project PPA 2</t>
  </si>
  <si>
    <t>Project PPA 3</t>
  </si>
  <si>
    <t>Project PPA 4</t>
  </si>
  <si>
    <t>Project PPA 5</t>
  </si>
  <si>
    <t>Project PPA 6</t>
  </si>
  <si>
    <t>Project Prepay 1</t>
  </si>
  <si>
    <t>Project Prepay 2</t>
  </si>
  <si>
    <t>Project Prepay 3</t>
  </si>
  <si>
    <t>Project Prepay 4</t>
  </si>
  <si>
    <t>Project Prepay 5</t>
  </si>
  <si>
    <t>Project Prepay 6</t>
  </si>
  <si>
    <t>Project Prepay 7</t>
  </si>
  <si>
    <t>Project Prepay 8</t>
  </si>
  <si>
    <t>Project Prepay 9</t>
  </si>
  <si>
    <t>Project Prepay 10</t>
  </si>
  <si>
    <t>Project Prepay 11</t>
  </si>
  <si>
    <t>Project Prepay 12</t>
  </si>
  <si>
    <t>Project Prepay 13</t>
  </si>
  <si>
    <t>Project Prepay 14</t>
  </si>
  <si>
    <t>Project Prepay 15</t>
  </si>
  <si>
    <t>Project Prepay 16</t>
  </si>
  <si>
    <t>Project Prepay 17</t>
  </si>
  <si>
    <t>Project Prepay 18</t>
  </si>
  <si>
    <t>Project Prepay 19</t>
  </si>
  <si>
    <t>Project Prepay 20</t>
  </si>
  <si>
    <t>Project Prepay 21</t>
  </si>
  <si>
    <t>Project Prepay 22</t>
  </si>
  <si>
    <t>Project Prepay 23</t>
  </si>
  <si>
    <t>Project Prepay 24</t>
  </si>
  <si>
    <t>Project Prepay 25</t>
  </si>
  <si>
    <t>Project Prepay 26</t>
  </si>
  <si>
    <t>Project Prepay 27</t>
  </si>
  <si>
    <t>Project Prepay 28</t>
  </si>
  <si>
    <t>Project Prepay 29</t>
  </si>
  <si>
    <t>Project Prepay 30</t>
  </si>
  <si>
    <t>Project Prepay 31</t>
  </si>
  <si>
    <t>Project Prepay 32</t>
  </si>
  <si>
    <t>Project Prepay 33</t>
  </si>
  <si>
    <t>Project Prepay 34</t>
  </si>
  <si>
    <t>Project Prepay 35</t>
  </si>
  <si>
    <t>Project Prepay 36</t>
  </si>
  <si>
    <t>Project Prepay 37</t>
  </si>
  <si>
    <t>Project Prepay 38</t>
  </si>
  <si>
    <t>Project Prepay 39</t>
  </si>
  <si>
    <t>Project Prepay 40</t>
  </si>
  <si>
    <t>Project Prepay 41</t>
  </si>
  <si>
    <t>Project Prepay 42</t>
  </si>
  <si>
    <t>Project Prepay 43</t>
  </si>
  <si>
    <t>Project Prepay 44</t>
  </si>
  <si>
    <t>Project Prepay 45</t>
  </si>
  <si>
    <t>Project Prepay 46</t>
  </si>
  <si>
    <t>Project Prepay 47</t>
  </si>
  <si>
    <t>Project Prepay 48</t>
  </si>
  <si>
    <t>Project Prepay 49</t>
  </si>
  <si>
    <t>Project Prepay 50</t>
  </si>
  <si>
    <t>Project Prepay 51</t>
  </si>
  <si>
    <t>Project Prepay 52</t>
  </si>
  <si>
    <t>Project Prepay 53</t>
  </si>
  <si>
    <t>Project Prepay 54</t>
  </si>
  <si>
    <t>Project Prepay 55</t>
  </si>
  <si>
    <t>Project Prepay 56</t>
  </si>
  <si>
    <t>Project Prepay 57</t>
  </si>
  <si>
    <t>Project Prepay 58</t>
  </si>
  <si>
    <t>Project Prepay 59</t>
  </si>
  <si>
    <t>Project Prepay 60</t>
  </si>
  <si>
    <t>Project Prepay 61</t>
  </si>
  <si>
    <t>Project Prepay 62</t>
  </si>
  <si>
    <t>Project Prepay 63</t>
  </si>
  <si>
    <t>Project Prepay 64</t>
  </si>
  <si>
    <t>Project Prepay 65</t>
  </si>
  <si>
    <t>Project Prepay 66</t>
  </si>
  <si>
    <t>Project Prepay 67</t>
  </si>
  <si>
    <t>Project Prepay 68</t>
  </si>
  <si>
    <t>Project Prepay 69</t>
  </si>
  <si>
    <t>Project Prepay 70</t>
  </si>
  <si>
    <t>Project Prepay 71</t>
  </si>
  <si>
    <t>Project Prepay 72</t>
  </si>
  <si>
    <t>Project Prepay 73</t>
  </si>
  <si>
    <t>Project Prepay 74</t>
  </si>
  <si>
    <t>Project Prepay 75</t>
  </si>
  <si>
    <t>Project Prepay 76</t>
  </si>
  <si>
    <t>Project Prepay 77</t>
  </si>
  <si>
    <t>Project Prepay 78</t>
  </si>
  <si>
    <t>Project Prepay 79</t>
  </si>
  <si>
    <t>Project Prepay 80</t>
  </si>
  <si>
    <t>Project Prepay 81</t>
  </si>
  <si>
    <t>Project Prepay 82</t>
  </si>
  <si>
    <t>Project Prepay 83</t>
  </si>
  <si>
    <t>Project Prepay 84</t>
  </si>
  <si>
    <t>Project Prepay 85</t>
  </si>
  <si>
    <t>Project Prepay 86</t>
  </si>
  <si>
    <t>Project Prepay 87</t>
  </si>
  <si>
    <t>Project Prepay 88</t>
  </si>
  <si>
    <t>Project Prepay 89</t>
  </si>
  <si>
    <t>Project Prepay 90</t>
  </si>
  <si>
    <t>Project Prepay 91</t>
  </si>
  <si>
    <t>Investor Portfolio 1</t>
  </si>
  <si>
    <t>Investor Portfolio 2</t>
  </si>
  <si>
    <t>Investor Portfolio 3</t>
  </si>
  <si>
    <t>Investor Portfolio 4</t>
  </si>
  <si>
    <t>Investor Portfolio 5</t>
  </si>
  <si>
    <t>Investor Portfolio 6</t>
  </si>
  <si>
    <t>Investor Portfolio 7</t>
  </si>
  <si>
    <t>Investor Portfolio 8</t>
  </si>
  <si>
    <t>Investor Portfolio 9</t>
  </si>
  <si>
    <t>Investor Portfolio 10</t>
  </si>
  <si>
    <t>Investor Portfolio 11</t>
  </si>
  <si>
    <t>Investor Portfolio 12</t>
  </si>
  <si>
    <t>Investor Portfolio 13</t>
  </si>
  <si>
    <t>Investor Portfolio 14</t>
  </si>
  <si>
    <t>Investor Portfolio 15</t>
  </si>
  <si>
    <t>Investor Probability</t>
  </si>
  <si>
    <t xml:space="preserve">Investment Amount </t>
  </si>
  <si>
    <t xml:space="preserve">Total Investment Amount </t>
  </si>
  <si>
    <t xml:space="preserve">Paid </t>
  </si>
  <si>
    <t xml:space="preserve">Pending Payment </t>
  </si>
  <si>
    <t>Pending amount to Allocate</t>
  </si>
  <si>
    <t>Weighted Avg. Unallocated Investment</t>
  </si>
  <si>
    <t>Weighted Avg. Unallocated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</si>
</sst>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8" formatCode="0.000%"/>
    <numFmt numFmtId="169" formatCode="0.00&quot; KW&quot;"/>
  </numFmts>
  <fonts count="21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Arial"/>
      <family val="2"/>
    </font>
    <font>
      <b/>
      <sz val="10"/>
      <color theme="1"/>
      <name val="Calibri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8"/>
      <name val="Arial"/>
      <family val="2"/>
    </font>
    <font>
      <sz val="9"/>
      <color theme="1"/>
      <name val="Arial"/>
      <family val="2"/>
    </font>
    <font>
      <sz val="11"/>
      <color rgb="FF0070C0"/>
      <name val="Calibri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Arial"/>
      <family val="2"/>
    </font>
    <font>
      <b/>
      <sz val="11"/>
      <color rgb="FFC00000"/>
      <name val="Arial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rgb="FFD5A6BD"/>
      </patternFill>
    </fill>
    <fill>
      <patternFill patternType="solid">
        <fgColor theme="9" tint="0.79998168889431442"/>
        <bgColor rgb="FFD5A6BD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D5A6BD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rgb="FFD5A6BD"/>
      </patternFill>
    </fill>
    <fill>
      <patternFill patternType="solid">
        <fgColor rgb="FFC4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double">
        <color rgb="FF000000"/>
      </top>
      <bottom style="medium">
        <color rgb="FF385623"/>
      </bottom>
      <diagonal/>
    </border>
    <border>
      <left style="medium">
        <color rgb="FFA5A5A5"/>
      </left>
      <right style="medium">
        <color rgb="FFA5A5A5"/>
      </right>
      <top style="medium">
        <color rgb="FFCCCCCC"/>
      </top>
      <bottom style="medium">
        <color rgb="FFA5A5A5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385623"/>
      </bottom>
      <diagonal/>
    </border>
  </borders>
  <cellStyleXfs count="6">
    <xf numFmtId="0" fontId="0" fillId="0" borderId="0"/>
    <xf numFmtId="44" fontId="6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4">
    <xf numFmtId="0" fontId="0" fillId="0" borderId="0" xfId="0" applyFont="1" applyAlignment="1"/>
    <xf numFmtId="0" fontId="7" fillId="0" borderId="0" xfId="0" applyFont="1" applyAlignment="1">
      <alignment horizontal="center" vertical="center" wrapText="1"/>
    </xf>
    <xf numFmtId="44" fontId="0" fillId="0" borderId="0" xfId="1" applyFont="1" applyAlignment="1"/>
    <xf numFmtId="0" fontId="7" fillId="4" borderId="1" xfId="0" applyFont="1" applyFill="1" applyBorder="1" applyAlignment="1">
      <alignment horizontal="center" vertical="center" wrapText="1"/>
    </xf>
    <xf numFmtId="44" fontId="7" fillId="4" borderId="1" xfId="1" applyFont="1" applyFill="1" applyBorder="1" applyAlignment="1">
      <alignment horizontal="center" vertical="center" wrapText="1"/>
    </xf>
    <xf numFmtId="0" fontId="0" fillId="5" borderId="0" xfId="0" applyFont="1" applyFill="1" applyAlignment="1"/>
    <xf numFmtId="164" fontId="4" fillId="2" borderId="1" xfId="0" applyNumberFormat="1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/>
    <xf numFmtId="0" fontId="0" fillId="0" borderId="0" xfId="0" applyFont="1" applyFill="1" applyAlignment="1"/>
    <xf numFmtId="0" fontId="0" fillId="6" borderId="3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/>
    </xf>
    <xf numFmtId="0" fontId="0" fillId="6" borderId="6" xfId="0" applyFont="1" applyFill="1" applyBorder="1" applyAlignment="1">
      <alignment horizontal="center"/>
    </xf>
    <xf numFmtId="164" fontId="4" fillId="9" borderId="1" xfId="0" applyNumberFormat="1" applyFont="1" applyFill="1" applyBorder="1" applyAlignment="1">
      <alignment vertical="center"/>
    </xf>
    <xf numFmtId="164" fontId="0" fillId="0" borderId="1" xfId="0" applyNumberFormat="1" applyFont="1" applyFill="1" applyBorder="1" applyAlignment="1"/>
    <xf numFmtId="0" fontId="0" fillId="0" borderId="0" xfId="0" applyFont="1" applyAlignment="1">
      <alignment horizontal="center"/>
    </xf>
    <xf numFmtId="0" fontId="11" fillId="0" borderId="0" xfId="0" applyFont="1" applyAlignment="1">
      <alignment wrapText="1"/>
    </xf>
    <xf numFmtId="0" fontId="14" fillId="0" borderId="0" xfId="0" applyFont="1" applyAlignment="1">
      <alignment horizontal="center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44" fontId="0" fillId="0" borderId="0" xfId="1" applyFont="1" applyFill="1" applyAlignment="1"/>
    <xf numFmtId="0" fontId="7" fillId="0" borderId="2" xfId="0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 wrapText="1"/>
    </xf>
    <xf numFmtId="44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164" fontId="7" fillId="4" borderId="1" xfId="1" applyNumberFormat="1" applyFont="1" applyFill="1" applyBorder="1" applyAlignment="1">
      <alignment vertical="center" wrapText="1"/>
    </xf>
    <xf numFmtId="9" fontId="15" fillId="2" borderId="1" xfId="2" applyFont="1" applyFill="1" applyBorder="1" applyAlignment="1">
      <alignment vertical="center"/>
    </xf>
    <xf numFmtId="0" fontId="0" fillId="10" borderId="1" xfId="0" applyFont="1" applyFill="1" applyBorder="1" applyAlignment="1"/>
    <xf numFmtId="44" fontId="0" fillId="10" borderId="1" xfId="1" applyFont="1" applyFill="1" applyBorder="1" applyAlignment="1"/>
    <xf numFmtId="0" fontId="0" fillId="10" borderId="1" xfId="0" applyFill="1" applyBorder="1"/>
    <xf numFmtId="0" fontId="0" fillId="10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left" vertical="center"/>
    </xf>
    <xf numFmtId="0" fontId="0" fillId="6" borderId="7" xfId="0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164" fontId="0" fillId="0" borderId="9" xfId="0" applyNumberFormat="1" applyFont="1" applyFill="1" applyBorder="1" applyAlignment="1"/>
    <xf numFmtId="0" fontId="0" fillId="11" borderId="1" xfId="0" applyFont="1" applyFill="1" applyBorder="1" applyAlignment="1">
      <alignment horizontal="center"/>
    </xf>
    <xf numFmtId="0" fontId="7" fillId="1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0" fontId="8" fillId="3" borderId="2" xfId="0" applyFont="1" applyFill="1" applyBorder="1" applyAlignment="1">
      <alignment horizontal="left" vertical="center"/>
    </xf>
    <xf numFmtId="164" fontId="4" fillId="13" borderId="1" xfId="0" applyNumberFormat="1" applyFont="1" applyFill="1" applyBorder="1" applyAlignment="1">
      <alignment vertical="center"/>
    </xf>
    <xf numFmtId="9" fontId="15" fillId="13" borderId="1" xfId="2" applyFont="1" applyFill="1" applyBorder="1" applyAlignment="1">
      <alignment vertical="center"/>
    </xf>
    <xf numFmtId="0" fontId="0" fillId="0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17" fillId="1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15" borderId="2" xfId="0" applyFont="1" applyFill="1" applyBorder="1" applyAlignment="1">
      <alignment horizontal="center" vertical="center"/>
    </xf>
    <xf numFmtId="0" fontId="8" fillId="15" borderId="2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/>
    </xf>
    <xf numFmtId="164" fontId="0" fillId="0" borderId="0" xfId="0" applyNumberFormat="1" applyFont="1" applyFill="1" applyAlignment="1"/>
    <xf numFmtId="168" fontId="0" fillId="0" borderId="0" xfId="2" applyNumberFormat="1" applyFont="1" applyFill="1" applyAlignment="1"/>
    <xf numFmtId="9" fontId="0" fillId="0" borderId="0" xfId="2" applyFont="1" applyFill="1" applyAlignment="1"/>
    <xf numFmtId="0" fontId="6" fillId="0" borderId="0" xfId="0" applyFont="1" applyFill="1" applyAlignment="1"/>
    <xf numFmtId="0" fontId="7" fillId="3" borderId="2" xfId="0" applyFont="1" applyFill="1" applyBorder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169" fontId="0" fillId="0" borderId="0" xfId="0" applyNumberFormat="1" applyFont="1" applyAlignment="1"/>
    <xf numFmtId="169" fontId="0" fillId="0" borderId="0" xfId="0" applyNumberFormat="1" applyFont="1" applyFill="1" applyAlignment="1"/>
    <xf numFmtId="169" fontId="7" fillId="4" borderId="1" xfId="0" applyNumberFormat="1" applyFont="1" applyFill="1" applyBorder="1" applyAlignment="1">
      <alignment horizontal="center" vertical="center" wrapText="1"/>
    </xf>
    <xf numFmtId="169" fontId="17" fillId="15" borderId="1" xfId="0" applyNumberFormat="1" applyFont="1" applyFill="1" applyBorder="1" applyAlignment="1"/>
    <xf numFmtId="169" fontId="6" fillId="10" borderId="1" xfId="0" applyNumberFormat="1" applyFont="1" applyFill="1" applyBorder="1" applyAlignment="1"/>
    <xf numFmtId="44" fontId="6" fillId="10" borderId="1" xfId="1" applyFont="1" applyFill="1" applyBorder="1" applyAlignment="1"/>
    <xf numFmtId="44" fontId="0" fillId="10" borderId="1" xfId="0" applyNumberFormat="1" applyFont="1" applyFill="1" applyBorder="1" applyAlignment="1"/>
    <xf numFmtId="6" fontId="17" fillId="15" borderId="1" xfId="1" applyNumberFormat="1" applyFont="1" applyFill="1" applyBorder="1" applyAlignment="1"/>
    <xf numFmtId="44" fontId="0" fillId="0" borderId="0" xfId="1" applyFont="1" applyAlignment="1">
      <alignment horizontal="center"/>
    </xf>
    <xf numFmtId="44" fontId="0" fillId="0" borderId="0" xfId="1" applyFont="1" applyFill="1" applyAlignment="1">
      <alignment horizontal="center"/>
    </xf>
    <xf numFmtId="164" fontId="0" fillId="0" borderId="0" xfId="0" applyNumberFormat="1" applyFont="1" applyBorder="1" applyAlignment="1">
      <alignment horizontal="center" vertical="center"/>
    </xf>
    <xf numFmtId="6" fontId="7" fillId="4" borderId="1" xfId="0" applyNumberFormat="1" applyFont="1" applyFill="1" applyBorder="1" applyAlignment="1">
      <alignment horizontal="center" vertical="center" wrapText="1"/>
    </xf>
    <xf numFmtId="9" fontId="0" fillId="0" borderId="1" xfId="2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164" fontId="0" fillId="0" borderId="1" xfId="0" applyNumberFormat="1" applyFont="1" applyBorder="1" applyAlignment="1">
      <alignment horizontal="center" vertical="center"/>
    </xf>
    <xf numFmtId="6" fontId="0" fillId="0" borderId="1" xfId="0" applyNumberFormat="1" applyFont="1" applyBorder="1" applyAlignment="1">
      <alignment horizontal="center"/>
    </xf>
    <xf numFmtId="44" fontId="7" fillId="11" borderId="1" xfId="1" applyFont="1" applyFill="1" applyBorder="1" applyAlignment="1">
      <alignment horizontal="center" vertical="center" wrapText="1"/>
    </xf>
    <xf numFmtId="44" fontId="18" fillId="11" borderId="1" xfId="1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44" fontId="18" fillId="6" borderId="1" xfId="1" applyFont="1" applyFill="1" applyBorder="1" applyAlignment="1">
      <alignment horizontal="center" vertical="center"/>
    </xf>
    <xf numFmtId="44" fontId="0" fillId="16" borderId="1" xfId="1" applyFont="1" applyFill="1" applyBorder="1" applyAlignment="1"/>
    <xf numFmtId="6" fontId="0" fillId="0" borderId="1" xfId="1" applyNumberFormat="1" applyFont="1" applyBorder="1" applyAlignment="1">
      <alignment horizontal="center"/>
    </xf>
    <xf numFmtId="44" fontId="0" fillId="0" borderId="1" xfId="1" applyFont="1" applyBorder="1" applyAlignment="1">
      <alignment horizontal="right"/>
    </xf>
    <xf numFmtId="44" fontId="19" fillId="7" borderId="1" xfId="1" applyFont="1" applyFill="1" applyBorder="1" applyAlignment="1">
      <alignment horizontal="center" vertical="center" wrapText="1"/>
    </xf>
    <xf numFmtId="0" fontId="17" fillId="15" borderId="1" xfId="0" applyFont="1" applyFill="1" applyBorder="1" applyAlignment="1"/>
    <xf numFmtId="44" fontId="17" fillId="15" borderId="1" xfId="1" applyFont="1" applyFill="1" applyBorder="1" applyAlignment="1"/>
    <xf numFmtId="44" fontId="17" fillId="15" borderId="1" xfId="0" applyNumberFormat="1" applyFont="1" applyFill="1" applyBorder="1" applyAlignment="1"/>
    <xf numFmtId="0" fontId="17" fillId="15" borderId="1" xfId="0" applyFont="1" applyFill="1" applyBorder="1" applyAlignment="1">
      <alignment horizontal="left" vertical="center"/>
    </xf>
    <xf numFmtId="0" fontId="17" fillId="15" borderId="1" xfId="0" applyFont="1" applyFill="1" applyBorder="1"/>
    <xf numFmtId="0" fontId="17" fillId="15" borderId="1" xfId="0" applyFont="1" applyFill="1" applyBorder="1" applyAlignment="1">
      <alignment horizontal="center"/>
    </xf>
    <xf numFmtId="0" fontId="17" fillId="15" borderId="1" xfId="0" applyFont="1" applyFill="1" applyBorder="1" applyAlignment="1">
      <alignment horizontal="left"/>
    </xf>
    <xf numFmtId="9" fontId="0" fillId="0" borderId="0" xfId="0" applyNumberFormat="1" applyFont="1" applyAlignment="1"/>
    <xf numFmtId="6" fontId="0" fillId="0" borderId="0" xfId="0" applyNumberFormat="1" applyFont="1" applyAlignment="1"/>
    <xf numFmtId="8" fontId="0" fillId="0" borderId="0" xfId="0" applyNumberFormat="1" applyFont="1" applyAlignment="1"/>
    <xf numFmtId="0" fontId="0" fillId="0" borderId="0" xfId="0" applyFont="1" applyAlignment="1">
      <alignment wrapText="1"/>
    </xf>
    <xf numFmtId="0" fontId="13" fillId="8" borderId="4" xfId="0" applyFont="1" applyFill="1" applyBorder="1" applyAlignment="1"/>
    <xf numFmtId="9" fontId="13" fillId="8" borderId="4" xfId="2" applyFont="1" applyFill="1" applyBorder="1" applyAlignment="1"/>
    <xf numFmtId="164" fontId="13" fillId="8" borderId="4" xfId="1" applyNumberFormat="1" applyFont="1" applyFill="1" applyBorder="1" applyAlignment="1"/>
    <xf numFmtId="164" fontId="13" fillId="8" borderId="1" xfId="1" applyNumberFormat="1" applyFont="1" applyFill="1" applyBorder="1" applyAlignment="1"/>
    <xf numFmtId="164" fontId="11" fillId="5" borderId="4" xfId="1" applyNumberFormat="1" applyFont="1" applyFill="1" applyBorder="1" applyAlignment="1"/>
    <xf numFmtId="0" fontId="11" fillId="5" borderId="4" xfId="1" applyNumberFormat="1" applyFont="1" applyFill="1" applyBorder="1" applyAlignment="1"/>
    <xf numFmtId="0" fontId="13" fillId="8" borderId="1" xfId="0" applyFont="1" applyFill="1" applyBorder="1" applyAlignment="1"/>
    <xf numFmtId="9" fontId="13" fillId="8" borderId="1" xfId="2" applyFont="1" applyFill="1" applyBorder="1" applyAlignment="1"/>
    <xf numFmtId="164" fontId="11" fillId="5" borderId="1" xfId="1" applyNumberFormat="1" applyFont="1" applyFill="1" applyBorder="1" applyAlignment="1"/>
    <xf numFmtId="0" fontId="11" fillId="5" borderId="1" xfId="1" applyNumberFormat="1" applyFont="1" applyFill="1" applyBorder="1" applyAlignment="1"/>
    <xf numFmtId="0" fontId="4" fillId="0" borderId="11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5" borderId="1" xfId="0" applyFont="1" applyFill="1" applyBorder="1" applyAlignment="1"/>
    <xf numFmtId="169" fontId="6" fillId="5" borderId="1" xfId="0" applyNumberFormat="1" applyFont="1" applyFill="1" applyBorder="1" applyAlignment="1"/>
    <xf numFmtId="44" fontId="0" fillId="5" borderId="1" xfId="1" applyFont="1" applyFill="1" applyBorder="1" applyAlignment="1"/>
    <xf numFmtId="44" fontId="0" fillId="5" borderId="1" xfId="0" applyNumberFormat="1" applyFont="1" applyFill="1" applyBorder="1" applyAlignment="1"/>
    <xf numFmtId="0" fontId="0" fillId="5" borderId="1" xfId="0" applyFill="1" applyBorder="1"/>
    <xf numFmtId="6" fontId="0" fillId="5" borderId="1" xfId="0" applyNumberFormat="1" applyFont="1" applyFill="1" applyBorder="1" applyAlignment="1">
      <alignment horizontal="center"/>
    </xf>
    <xf numFmtId="9" fontId="0" fillId="5" borderId="1" xfId="2" applyFont="1" applyFill="1" applyBorder="1" applyAlignment="1">
      <alignment horizontal="center"/>
    </xf>
    <xf numFmtId="44" fontId="0" fillId="5" borderId="1" xfId="1" applyFont="1" applyFill="1" applyBorder="1" applyAlignment="1">
      <alignment horizontal="center"/>
    </xf>
    <xf numFmtId="0" fontId="11" fillId="8" borderId="1" xfId="0" applyFont="1" applyFill="1" applyBorder="1" applyAlignment="1"/>
    <xf numFmtId="6" fontId="17" fillId="15" borderId="1" xfId="1" applyNumberFormat="1" applyFont="1" applyFill="1" applyBorder="1" applyAlignment="1">
      <alignment horizontal="center" vertical="center"/>
    </xf>
    <xf numFmtId="44" fontId="17" fillId="15" borderId="1" xfId="1" applyFont="1" applyFill="1" applyBorder="1" applyAlignment="1">
      <alignment horizontal="center" vertical="center"/>
    </xf>
    <xf numFmtId="0" fontId="11" fillId="0" borderId="10" xfId="0" applyFont="1" applyBorder="1" applyAlignment="1">
      <alignment horizontal="center" wrapText="1"/>
    </xf>
    <xf numFmtId="0" fontId="10" fillId="0" borderId="1" xfId="0" applyFont="1" applyBorder="1" applyAlignment="1">
      <alignment vertical="center" wrapText="1"/>
    </xf>
    <xf numFmtId="0" fontId="12" fillId="0" borderId="1" xfId="0" applyFont="1" applyBorder="1" applyAlignment="1">
      <alignment wrapText="1"/>
    </xf>
    <xf numFmtId="0" fontId="10" fillId="0" borderId="2" xfId="0" applyFont="1" applyBorder="1" applyAlignment="1">
      <alignment vertical="center" wrapText="1"/>
    </xf>
    <xf numFmtId="0" fontId="10" fillId="0" borderId="4" xfId="0" applyFont="1" applyBorder="1" applyAlignment="1">
      <alignment vertical="center" wrapText="1"/>
    </xf>
    <xf numFmtId="0" fontId="6" fillId="10" borderId="1" xfId="0" applyFont="1" applyFill="1" applyBorder="1" applyAlignment="1"/>
  </cellXfs>
  <cellStyles count="6">
    <cellStyle name="Comma 2" xfId="5" xr:uid="{00000000-0005-0000-0000-000001000000}"/>
    <cellStyle name="Currency" xfId="1" builtinId="4"/>
    <cellStyle name="Currency 2" xfId="4" xr:uid="{00000000-0005-0000-0000-000003000000}"/>
    <cellStyle name="Normal" xfId="0" builtinId="0"/>
    <cellStyle name="Normal 2" xfId="3" xr:uid="{00000000-0005-0000-0000-000005000000}"/>
    <cellStyle name="Percent" xfId="2" builtinId="5"/>
  </cellStyles>
  <dxfs count="4"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</font>
      <fill>
        <patternFill>
          <bgColor theme="4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40000"/>
      <color rgb="FFFFCCCC"/>
      <color rgb="FFA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243840</xdr:colOff>
      <xdr:row>3</xdr:row>
      <xdr:rowOff>26670</xdr:rowOff>
    </xdr:from>
    <xdr:to>
      <xdr:col>10</xdr:col>
      <xdr:colOff>982980</xdr:colOff>
      <xdr:row>5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45720" rIns="64008" bIns="4572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Allocation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952500</xdr:colOff>
          <xdr:row>23</xdr:row>
          <xdr:rowOff>9525</xdr:rowOff>
        </xdr:from>
        <xdr:to>
          <xdr:col>51</xdr:col>
          <xdr:colOff>723900</xdr:colOff>
          <xdr:row>25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2</xdr:col>
          <xdr:colOff>361950</xdr:colOff>
          <xdr:row>3</xdr:row>
          <xdr:rowOff>180975</xdr:rowOff>
        </xdr:to>
        <xdr:sp macro="" textlink="">
          <xdr:nvSpPr>
            <xdr:cNvPr id="1030" name="Origina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209550</xdr:rowOff>
        </xdr:from>
        <xdr:to>
          <xdr:col>2</xdr:col>
          <xdr:colOff>352425</xdr:colOff>
          <xdr:row>5</xdr:row>
          <xdr:rowOff>123825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L116"/>
  <sheetViews>
    <sheetView tabSelected="1" topLeftCell="M7" zoomScale="55" zoomScaleNormal="55" workbookViewId="0">
      <selection activeCell="AG49" sqref="AG49"/>
    </sheetView>
  </sheetViews>
  <sheetFormatPr defaultRowHeight="14.25" x14ac:dyDescent="0.2"/>
  <cols>
    <col min="1" max="1" width="6.375" style="15" customWidth="1"/>
    <col min="2" max="2" width="47.375" bestFit="1" customWidth="1"/>
    <col min="3" max="3" width="15.25" style="58" customWidth="1"/>
    <col min="4" max="4" width="15.25" style="2" customWidth="1"/>
    <col min="5" max="6" width="20.25" style="2" customWidth="1"/>
    <col min="7" max="7" width="20.25" customWidth="1"/>
    <col min="8" max="8" width="13.875" customWidth="1"/>
    <col min="9" max="9" width="17.5" style="2" customWidth="1"/>
    <col min="10" max="10" width="13.875" style="2" customWidth="1"/>
    <col min="11" max="11" width="20" customWidth="1"/>
    <col min="12" max="12" width="57.375" bestFit="1" customWidth="1"/>
    <col min="13" max="13" width="15.75" bestFit="1" customWidth="1"/>
    <col min="14" max="14" width="15" customWidth="1"/>
    <col min="15" max="15" width="16.25" customWidth="1"/>
    <col min="16" max="16" width="14.875" bestFit="1" customWidth="1"/>
    <col min="17" max="17" width="15.125" bestFit="1" customWidth="1"/>
    <col min="18" max="18" width="17.875" bestFit="1" customWidth="1"/>
    <col min="19" max="19" width="16.5" customWidth="1"/>
    <col min="20" max="20" width="16.375" customWidth="1"/>
    <col min="21" max="21" width="18.125" customWidth="1"/>
    <col min="22" max="22" width="18.25" customWidth="1"/>
    <col min="23" max="23" width="20.375" customWidth="1"/>
    <col min="24" max="27" width="16.25" customWidth="1"/>
    <col min="28" max="28" width="5.25" hidden="1" customWidth="1"/>
    <col min="29" max="30" width="15.75" style="15" customWidth="1"/>
    <col min="31" max="31" width="30.625" style="66" customWidth="1"/>
    <col min="32" max="32" width="18.375" style="66" customWidth="1"/>
    <col min="33" max="34" width="30.625" style="66" customWidth="1"/>
    <col min="35" max="35" width="25.75" style="15" customWidth="1"/>
    <col min="36" max="36" width="16.375" hidden="1" customWidth="1"/>
    <col min="37" max="37" width="17.375" hidden="1" customWidth="1"/>
    <col min="38" max="38" width="0" hidden="1" customWidth="1"/>
    <col min="48" max="48" width="23.25" bestFit="1" customWidth="1"/>
    <col min="49" max="49" width="15.75" hidden="1" customWidth="1"/>
    <col min="50" max="50" width="11" hidden="1" customWidth="1"/>
    <col min="51" max="51" width="12" customWidth="1"/>
    <col min="52" max="52" width="12.25" customWidth="1"/>
    <col min="53" max="53" width="18.875" customWidth="1"/>
    <col min="54" max="54" width="9.5" customWidth="1"/>
    <col min="55" max="55" width="19.375" customWidth="1"/>
    <col min="56" max="56" width="15.25" customWidth="1"/>
    <col min="57" max="57" width="16.625" customWidth="1"/>
    <col min="60" max="60" width="14" customWidth="1"/>
    <col min="61" max="61" width="13.125" customWidth="1"/>
    <col min="62" max="62" width="14.5" customWidth="1"/>
    <col min="63" max="63" width="16.5" customWidth="1"/>
  </cols>
  <sheetData>
    <row r="1" spans="1:64" ht="15.75" thickBot="1" x14ac:dyDescent="0.25">
      <c r="M1" s="37" t="str">
        <f t="array" ref="M1:AB1">TRANSPOSE(Purchaser!A$3:A$17)</f>
        <v>y</v>
      </c>
      <c r="N1" s="37" t="str">
        <v>y</v>
      </c>
      <c r="O1" s="37" t="str">
        <v>y</v>
      </c>
      <c r="P1" s="37" t="str">
        <v>y</v>
      </c>
      <c r="Q1" s="37" t="str">
        <v>y</v>
      </c>
      <c r="R1" s="37" t="str">
        <v>y</v>
      </c>
      <c r="S1" s="37">
        <v>1</v>
      </c>
      <c r="T1" s="37">
        <v>2</v>
      </c>
      <c r="U1" s="37">
        <v>3</v>
      </c>
      <c r="V1" s="37">
        <v>4</v>
      </c>
      <c r="W1" s="37">
        <v>5</v>
      </c>
      <c r="X1" s="37">
        <v>6</v>
      </c>
      <c r="Y1" s="37">
        <v>7</v>
      </c>
      <c r="Z1" s="37">
        <v>8</v>
      </c>
      <c r="AA1" s="37">
        <v>9</v>
      </c>
      <c r="AB1" s="37" t="e">
        <v>#N/A</v>
      </c>
      <c r="AJ1" s="7" t="s">
        <v>32</v>
      </c>
      <c r="AK1" s="7" t="s">
        <v>33</v>
      </c>
      <c r="AL1" s="7" t="s">
        <v>34</v>
      </c>
    </row>
    <row r="2" spans="1:64" ht="22.5" customHeight="1" x14ac:dyDescent="0.2">
      <c r="L2" s="1"/>
      <c r="M2" s="38" t="str">
        <f t="array" ref="M2:AB2">TRANSPOSE(Purchaser!B$3:B$17)</f>
        <v>Investor Portfolio 1</v>
      </c>
      <c r="N2" s="39" t="str">
        <v>Investor Portfolio 2</v>
      </c>
      <c r="O2" s="38" t="str">
        <v>Investor Portfolio 3</v>
      </c>
      <c r="P2" s="38" t="str">
        <v>Investor Portfolio 4</v>
      </c>
      <c r="Q2" s="38" t="str">
        <v>Investor Portfolio 5</v>
      </c>
      <c r="R2" s="38" t="str">
        <v>Investor Portfolio 6</v>
      </c>
      <c r="S2" s="38" t="str">
        <v>Investor Portfolio 7</v>
      </c>
      <c r="T2" s="38" t="str">
        <v>Investor Portfolio 8</v>
      </c>
      <c r="U2" s="38" t="str">
        <v>Investor Portfolio 9</v>
      </c>
      <c r="V2" s="38" t="str">
        <v>Investor Portfolio 10</v>
      </c>
      <c r="W2" s="38" t="str">
        <v>Investor Portfolio 11</v>
      </c>
      <c r="X2" s="38" t="str">
        <v>Investor Portfolio 12</v>
      </c>
      <c r="Y2" s="38" t="str">
        <v>Investor Portfolio 13</v>
      </c>
      <c r="Z2" s="38" t="str">
        <v>Investor Portfolio 14</v>
      </c>
      <c r="AA2" s="38" t="str">
        <v>Investor Portfolio 15</v>
      </c>
      <c r="AB2" s="38" t="e">
        <v>#N/A</v>
      </c>
      <c r="AC2" s="45" t="s">
        <v>10</v>
      </c>
      <c r="AD2" s="56"/>
      <c r="AI2" s="44" t="s">
        <v>35</v>
      </c>
      <c r="AJ2" s="10">
        <v>9</v>
      </c>
      <c r="AK2" s="10">
        <v>11</v>
      </c>
      <c r="AL2" s="10">
        <v>11</v>
      </c>
    </row>
    <row r="3" spans="1:64" s="9" customFormat="1" ht="22.5" customHeight="1" x14ac:dyDescent="0.2">
      <c r="A3" s="19"/>
      <c r="C3" s="59"/>
      <c r="D3" s="20"/>
      <c r="E3" s="20"/>
      <c r="F3" s="20"/>
      <c r="I3" s="20"/>
      <c r="J3" s="20"/>
      <c r="L3" s="18" t="s">
        <v>14</v>
      </c>
      <c r="M3" s="46" t="str">
        <f t="array" ref="M3:AB3">TRANSPOSE(Purchaser!K3:K17)</f>
        <v>PPA</v>
      </c>
      <c r="N3" s="47" t="str">
        <v>PPA</v>
      </c>
      <c r="O3" s="46" t="str">
        <v>PPA</v>
      </c>
      <c r="P3" s="46" t="str">
        <v>PPA</v>
      </c>
      <c r="Q3" s="46" t="str">
        <v>PPA</v>
      </c>
      <c r="R3" s="46" t="str">
        <v>PPA</v>
      </c>
      <c r="S3" s="48" t="str">
        <v>Prepay</v>
      </c>
      <c r="T3" s="48" t="str">
        <v>Prepay</v>
      </c>
      <c r="U3" s="48" t="str">
        <v>Prepay</v>
      </c>
      <c r="V3" s="48" t="str">
        <v>Prepay</v>
      </c>
      <c r="W3" s="48" t="str">
        <v>Prepay</v>
      </c>
      <c r="X3" s="48" t="str">
        <v>Prepay</v>
      </c>
      <c r="Y3" s="48" t="str">
        <v>Prepay</v>
      </c>
      <c r="Z3" s="48" t="str">
        <v>Prepay</v>
      </c>
      <c r="AA3" s="48" t="str">
        <v>Prepay</v>
      </c>
      <c r="AB3" s="21" t="e">
        <v>#N/A</v>
      </c>
      <c r="AC3" s="18"/>
      <c r="AD3" s="57"/>
      <c r="AE3" s="67"/>
      <c r="AF3" s="67"/>
      <c r="AG3" s="67"/>
      <c r="AH3" s="67"/>
      <c r="AI3" s="116">
        <f>SUM(Deals)-SUM(AC15:AC107)</f>
        <v>-73688.385961002437</v>
      </c>
      <c r="AJ3" s="11">
        <v>16</v>
      </c>
      <c r="AK3" s="11">
        <v>15</v>
      </c>
      <c r="AL3" s="11">
        <v>10</v>
      </c>
    </row>
    <row r="4" spans="1:64" ht="35.25" customHeight="1" x14ac:dyDescent="0.2">
      <c r="L4" s="22" t="s">
        <v>1</v>
      </c>
      <c r="M4" s="40">
        <f t="array" ref="M4:AB4">TRANSPOSE(Purchaser!E$3:E$17)</f>
        <v>251000</v>
      </c>
      <c r="N4" s="40">
        <v>186000</v>
      </c>
      <c r="O4" s="40">
        <v>75000</v>
      </c>
      <c r="P4" s="40">
        <v>114000</v>
      </c>
      <c r="Q4" s="40">
        <v>350000</v>
      </c>
      <c r="R4" s="40">
        <v>62000</v>
      </c>
      <c r="S4" s="40">
        <v>225291</v>
      </c>
      <c r="T4" s="40">
        <v>238000</v>
      </c>
      <c r="U4" s="40">
        <v>261000</v>
      </c>
      <c r="V4" s="40">
        <v>237000</v>
      </c>
      <c r="W4" s="40">
        <v>7361</v>
      </c>
      <c r="X4" s="40">
        <v>60000</v>
      </c>
      <c r="Y4" s="40">
        <v>12500</v>
      </c>
      <c r="Z4" s="40">
        <v>84500</v>
      </c>
      <c r="AA4" s="6">
        <v>65500</v>
      </c>
      <c r="AB4" s="6" t="e">
        <v>#N/A</v>
      </c>
      <c r="AC4" s="72">
        <f>SUM(M4:AA4)</f>
        <v>2229152</v>
      </c>
      <c r="AD4" s="68"/>
      <c r="AI4" s="117"/>
      <c r="AJ4" s="32">
        <v>6</v>
      </c>
      <c r="AK4" s="11">
        <v>6</v>
      </c>
      <c r="AL4" s="11">
        <v>8</v>
      </c>
    </row>
    <row r="5" spans="1:64" ht="31.5" customHeight="1" x14ac:dyDescent="0.2">
      <c r="L5" s="23" t="s">
        <v>2</v>
      </c>
      <c r="M5" s="40">
        <f t="array" ref="M5:AB5">TRANSPOSE(Purchaser!M$3:M$17)+TRANSPOSE(Purchaser!G$3:G$17)</f>
        <v>0</v>
      </c>
      <c r="N5" s="40">
        <v>0</v>
      </c>
      <c r="O5" s="40">
        <v>0</v>
      </c>
      <c r="P5" s="40">
        <v>0</v>
      </c>
      <c r="Q5" s="40">
        <v>0</v>
      </c>
      <c r="R5" s="40">
        <v>0</v>
      </c>
      <c r="S5" s="40">
        <v>0</v>
      </c>
      <c r="T5" s="40">
        <v>0</v>
      </c>
      <c r="U5" s="40">
        <v>0</v>
      </c>
      <c r="V5" s="40">
        <v>0</v>
      </c>
      <c r="W5" s="40">
        <v>0</v>
      </c>
      <c r="X5" s="40">
        <v>0</v>
      </c>
      <c r="Y5" s="40">
        <v>0</v>
      </c>
      <c r="Z5" s="40">
        <v>0</v>
      </c>
      <c r="AA5" s="6">
        <v>0</v>
      </c>
      <c r="AB5" s="6" t="e">
        <v>#N/A</v>
      </c>
      <c r="AC5" s="72">
        <f>SUM(M5:AA5)</f>
        <v>0</v>
      </c>
      <c r="AD5" s="68"/>
      <c r="AJ5" s="32">
        <v>8</v>
      </c>
      <c r="AK5" s="11">
        <v>8</v>
      </c>
      <c r="AL5" s="11">
        <v>3</v>
      </c>
    </row>
    <row r="6" spans="1:64" ht="38.25" customHeight="1" x14ac:dyDescent="0.2">
      <c r="L6" s="23" t="s">
        <v>31</v>
      </c>
      <c r="M6" s="41">
        <v>0.02</v>
      </c>
      <c r="N6" s="41">
        <v>0.02</v>
      </c>
      <c r="O6" s="41">
        <v>0.02</v>
      </c>
      <c r="P6" s="41">
        <v>0.02</v>
      </c>
      <c r="Q6" s="41">
        <v>0.02</v>
      </c>
      <c r="R6" s="41">
        <v>0.02</v>
      </c>
      <c r="S6" s="41">
        <v>0.02</v>
      </c>
      <c r="T6" s="41">
        <v>0.03</v>
      </c>
      <c r="U6" s="41">
        <v>0.02</v>
      </c>
      <c r="V6" s="41">
        <v>0.04</v>
      </c>
      <c r="W6" s="41">
        <v>0.02</v>
      </c>
      <c r="X6" s="41">
        <v>0.02</v>
      </c>
      <c r="Y6" s="41">
        <v>0.01</v>
      </c>
      <c r="Z6" s="41">
        <v>0.06</v>
      </c>
      <c r="AA6" s="41">
        <v>0.02</v>
      </c>
      <c r="AB6" s="26">
        <v>0</v>
      </c>
      <c r="AC6" s="72"/>
      <c r="AD6" s="68"/>
      <c r="AJ6" s="32">
        <v>15</v>
      </c>
      <c r="AK6" s="11">
        <v>6</v>
      </c>
      <c r="AL6" s="11">
        <v>12</v>
      </c>
    </row>
    <row r="7" spans="1:64" ht="39" customHeight="1" x14ac:dyDescent="0.2">
      <c r="L7" s="24" t="s">
        <v>15</v>
      </c>
      <c r="M7" s="40">
        <f t="shared" ref="M7:AB7" si="0">IF(M4-M5&gt;0,(M4-M5)*(1+M6),0)</f>
        <v>256020</v>
      </c>
      <c r="N7" s="40">
        <f t="shared" si="0"/>
        <v>189720</v>
      </c>
      <c r="O7" s="40">
        <f t="shared" si="0"/>
        <v>76500</v>
      </c>
      <c r="P7" s="40">
        <f t="shared" si="0"/>
        <v>116280</v>
      </c>
      <c r="Q7" s="40">
        <f t="shared" si="0"/>
        <v>357000</v>
      </c>
      <c r="R7" s="40">
        <f t="shared" si="0"/>
        <v>63240</v>
      </c>
      <c r="S7" s="40">
        <f>IF(S4-S5&gt;0,(S4-S5)*(1+S6),0)</f>
        <v>229796.82</v>
      </c>
      <c r="T7" s="40">
        <f t="shared" si="0"/>
        <v>245140</v>
      </c>
      <c r="U7" s="40">
        <f t="shared" si="0"/>
        <v>266220</v>
      </c>
      <c r="V7" s="40">
        <f t="shared" si="0"/>
        <v>246480</v>
      </c>
      <c r="W7" s="40">
        <f t="shared" si="0"/>
        <v>7508.22</v>
      </c>
      <c r="X7" s="40">
        <f t="shared" si="0"/>
        <v>61200</v>
      </c>
      <c r="Y7" s="40">
        <f t="shared" si="0"/>
        <v>12625</v>
      </c>
      <c r="Z7" s="40">
        <f t="shared" si="0"/>
        <v>89570</v>
      </c>
      <c r="AA7" s="13">
        <f t="shared" si="0"/>
        <v>66810</v>
      </c>
      <c r="AB7" s="13" t="e">
        <f t="shared" si="0"/>
        <v>#N/A</v>
      </c>
      <c r="AC7" s="72">
        <f>SUM(M7:AA7)</f>
        <v>2284110.04</v>
      </c>
      <c r="AJ7" s="11">
        <v>11</v>
      </c>
      <c r="AK7" s="11">
        <v>12</v>
      </c>
      <c r="AL7" s="11">
        <v>15</v>
      </c>
    </row>
    <row r="8" spans="1:64" ht="39" customHeight="1" x14ac:dyDescent="0.2">
      <c r="L8" s="24" t="s">
        <v>48</v>
      </c>
      <c r="M8" s="40">
        <f>M9-M4</f>
        <v>-14307</v>
      </c>
      <c r="N8" s="40">
        <f t="shared" ref="N8:Z8" si="1">N9-N4</f>
        <v>-392</v>
      </c>
      <c r="O8" s="40">
        <f t="shared" si="1"/>
        <v>-3395</v>
      </c>
      <c r="P8" s="40">
        <f t="shared" si="1"/>
        <v>-114000</v>
      </c>
      <c r="Q8" s="40">
        <f t="shared" si="1"/>
        <v>-40297</v>
      </c>
      <c r="R8" s="40">
        <f t="shared" si="1"/>
        <v>188086</v>
      </c>
      <c r="S8" s="40">
        <f>S9-S4</f>
        <v>15893.513816156046</v>
      </c>
      <c r="T8" s="40">
        <f t="shared" si="1"/>
        <v>21171.892054794502</v>
      </c>
      <c r="U8" s="40">
        <f t="shared" si="1"/>
        <v>23235.82465116278</v>
      </c>
      <c r="V8" s="40">
        <f t="shared" si="1"/>
        <v>-99121.541615598893</v>
      </c>
      <c r="W8" s="40">
        <f t="shared" si="1"/>
        <v>2166.2112668463615</v>
      </c>
      <c r="X8" s="40">
        <f t="shared" si="1"/>
        <v>-26788.181173260571</v>
      </c>
      <c r="Y8" s="40">
        <f t="shared" si="1"/>
        <v>13179.492590529248</v>
      </c>
      <c r="Z8" s="40">
        <f t="shared" si="1"/>
        <v>39172.674242837646</v>
      </c>
      <c r="AA8" s="13"/>
      <c r="AB8" s="13"/>
      <c r="AC8" s="72"/>
      <c r="AD8" s="77" t="s">
        <v>38</v>
      </c>
      <c r="AE8" s="75" t="s">
        <v>44</v>
      </c>
      <c r="AF8" s="75" t="s">
        <v>45</v>
      </c>
      <c r="AG8" s="75" t="s">
        <v>46</v>
      </c>
      <c r="AH8" s="75" t="s">
        <v>47</v>
      </c>
      <c r="AJ8" s="32"/>
      <c r="AK8" s="11"/>
      <c r="AL8" s="11"/>
    </row>
    <row r="9" spans="1:64" s="1" customFormat="1" ht="58.5" customHeight="1" x14ac:dyDescent="0.2">
      <c r="A9" s="3" t="s">
        <v>21</v>
      </c>
      <c r="B9" s="3" t="s">
        <v>7</v>
      </c>
      <c r="C9" s="60" t="s">
        <v>20</v>
      </c>
      <c r="D9" s="4" t="s">
        <v>13</v>
      </c>
      <c r="E9" s="4" t="s">
        <v>8</v>
      </c>
      <c r="F9" s="4" t="s">
        <v>39</v>
      </c>
      <c r="G9" s="3" t="s">
        <v>40</v>
      </c>
      <c r="H9" s="3" t="s">
        <v>9</v>
      </c>
      <c r="I9" s="4" t="s">
        <v>41</v>
      </c>
      <c r="J9" s="74" t="s">
        <v>43</v>
      </c>
      <c r="K9" s="76" t="s">
        <v>42</v>
      </c>
      <c r="L9" s="3" t="s">
        <v>11</v>
      </c>
      <c r="M9" s="25">
        <f>SUMPRODUCT(M10:M97,$K$10:$K$97)</f>
        <v>236693</v>
      </c>
      <c r="N9" s="25">
        <f t="shared" ref="N9:R9" si="2">SUMPRODUCT(N10:N97,$K$10:$K$97)</f>
        <v>185608</v>
      </c>
      <c r="O9" s="25">
        <f t="shared" si="2"/>
        <v>71605</v>
      </c>
      <c r="P9" s="25">
        <f t="shared" si="2"/>
        <v>0</v>
      </c>
      <c r="Q9" s="25">
        <f t="shared" si="2"/>
        <v>309703</v>
      </c>
      <c r="R9" s="25">
        <f t="shared" si="2"/>
        <v>250086</v>
      </c>
      <c r="S9" s="25">
        <f>SUMPRODUCT(S10:S97,$I$10:$I$97)</f>
        <v>241184.51381615605</v>
      </c>
      <c r="T9" s="25">
        <f t="shared" ref="T9:Z9" si="3">SUMPRODUCT(T10:T97,$I$10:$I$97)</f>
        <v>259171.8920547945</v>
      </c>
      <c r="U9" s="25">
        <f t="shared" si="3"/>
        <v>284235.82465116278</v>
      </c>
      <c r="V9" s="25">
        <f t="shared" si="3"/>
        <v>137878.45838440111</v>
      </c>
      <c r="W9" s="25">
        <f t="shared" si="3"/>
        <v>9527.2112668463615</v>
      </c>
      <c r="X9" s="25">
        <f t="shared" si="3"/>
        <v>33211.818826739429</v>
      </c>
      <c r="Y9" s="25">
        <f t="shared" si="3"/>
        <v>25679.492590529248</v>
      </c>
      <c r="Z9" s="25">
        <f t="shared" si="3"/>
        <v>123672.67424283765</v>
      </c>
      <c r="AA9" s="25">
        <f>SUMPRODUCT(AA10:AA97,$I$10:$I$97)</f>
        <v>0</v>
      </c>
      <c r="AB9" s="25" t="e">
        <f>SUMPRODUCT(AB15:AB97,$K$15:$K$97)</f>
        <v>#N/A</v>
      </c>
      <c r="AC9" s="69">
        <f>SUM(AC10:AC107)</f>
        <v>2258977.1715837526</v>
      </c>
      <c r="AD9" s="4"/>
      <c r="AE9" s="74">
        <f>SUM(AE15:AE107)</f>
        <v>22276.321583752069</v>
      </c>
      <c r="AF9" s="74">
        <f>SUM(AF10:AF107)</f>
        <v>2350988.7200000002</v>
      </c>
      <c r="AG9" s="81">
        <f>AF9-AC9</f>
        <v>92011.548416247591</v>
      </c>
      <c r="AH9" s="81">
        <f>AF9-SUM(K10:K107)</f>
        <v>114287.87000000011</v>
      </c>
      <c r="AI9" s="36" t="s">
        <v>17</v>
      </c>
      <c r="AJ9" s="32">
        <v>15</v>
      </c>
      <c r="AK9" s="11">
        <v>9</v>
      </c>
      <c r="AL9" s="11">
        <v>6</v>
      </c>
    </row>
    <row r="10" spans="1:64" ht="15" x14ac:dyDescent="0.25">
      <c r="A10" s="87">
        <v>472</v>
      </c>
      <c r="B10" s="82" t="s">
        <v>64</v>
      </c>
      <c r="C10" s="61">
        <v>60.06</v>
      </c>
      <c r="D10" s="83">
        <f t="shared" ref="D10:D14" si="4">C10*14*6</f>
        <v>5045.04</v>
      </c>
      <c r="E10" s="65">
        <v>123237</v>
      </c>
      <c r="F10" s="83">
        <f t="shared" ref="F10:F14" si="5">IF(AI10=0,(E10/(1-0.3))*0.3,(E10/(1-0.3*AD10))*0.3)</f>
        <v>52815.857142857145</v>
      </c>
      <c r="G10" s="84">
        <f t="shared" ref="G10:G14" si="6">IF(AI10=0,F10*1,F10*AD10)</f>
        <v>52815.857142857145</v>
      </c>
      <c r="H10" s="85" t="s">
        <v>18</v>
      </c>
      <c r="I10" s="83">
        <v>236693</v>
      </c>
      <c r="J10" s="83" t="s">
        <v>12</v>
      </c>
      <c r="K10" s="83">
        <v>236693</v>
      </c>
      <c r="L10" s="86" t="str">
        <f t="shared" ref="L10:L15" si="7">B10</f>
        <v>Project PPA 1</v>
      </c>
      <c r="M10" s="30">
        <v>1</v>
      </c>
      <c r="N10" s="30">
        <f t="shared" ref="N10:AB10" si="8">($AI10=N$1)*1</f>
        <v>0</v>
      </c>
      <c r="O10" s="30">
        <f t="shared" si="8"/>
        <v>0</v>
      </c>
      <c r="P10" s="30">
        <f t="shared" si="8"/>
        <v>0</v>
      </c>
      <c r="Q10" s="30">
        <f t="shared" si="8"/>
        <v>0</v>
      </c>
      <c r="R10" s="30">
        <f t="shared" si="8"/>
        <v>0</v>
      </c>
      <c r="S10" s="43">
        <f t="shared" si="8"/>
        <v>0</v>
      </c>
      <c r="T10" s="43">
        <f t="shared" si="8"/>
        <v>0</v>
      </c>
      <c r="U10" s="43">
        <f t="shared" si="8"/>
        <v>0</v>
      </c>
      <c r="V10" s="43">
        <f t="shared" si="8"/>
        <v>0</v>
      </c>
      <c r="W10" s="43">
        <f t="shared" si="8"/>
        <v>0</v>
      </c>
      <c r="X10" s="43">
        <f t="shared" si="8"/>
        <v>0</v>
      </c>
      <c r="Y10" s="43">
        <f t="shared" si="8"/>
        <v>0</v>
      </c>
      <c r="Z10" s="43">
        <f t="shared" si="8"/>
        <v>0</v>
      </c>
      <c r="AA10" s="43">
        <f t="shared" si="8"/>
        <v>0</v>
      </c>
      <c r="AB10" s="43" t="e">
        <f t="shared" si="8"/>
        <v>#N/A</v>
      </c>
      <c r="AC10" s="73">
        <f t="shared" ref="AC10:AC12" si="9">SUM(M10:AA10)*I10</f>
        <v>236693</v>
      </c>
      <c r="AD10" s="70">
        <v>1</v>
      </c>
      <c r="AE10" s="79">
        <f>AC10</f>
        <v>236693</v>
      </c>
      <c r="AF10" s="80">
        <f>AC10</f>
        <v>236693</v>
      </c>
      <c r="AG10" s="71">
        <v>0</v>
      </c>
      <c r="AH10" s="71"/>
      <c r="AI10" s="49" t="s">
        <v>37</v>
      </c>
      <c r="AJ10" s="32">
        <v>12</v>
      </c>
      <c r="AK10" s="11">
        <v>15</v>
      </c>
      <c r="AL10" s="11">
        <v>15</v>
      </c>
    </row>
    <row r="11" spans="1:64" ht="15" x14ac:dyDescent="0.25">
      <c r="A11" s="87">
        <v>435</v>
      </c>
      <c r="B11" s="82" t="s">
        <v>65</v>
      </c>
      <c r="C11" s="61">
        <v>16.170000000000002</v>
      </c>
      <c r="D11" s="83">
        <f t="shared" si="4"/>
        <v>1358.2800000000002</v>
      </c>
      <c r="E11" s="65">
        <v>40547</v>
      </c>
      <c r="F11" s="83">
        <f t="shared" si="5"/>
        <v>17377.285714285714</v>
      </c>
      <c r="G11" s="84">
        <f t="shared" si="6"/>
        <v>17377.285714285714</v>
      </c>
      <c r="H11" s="85" t="s">
        <v>18</v>
      </c>
      <c r="I11" s="83">
        <v>185608</v>
      </c>
      <c r="J11" s="83" t="s">
        <v>6</v>
      </c>
      <c r="K11" s="83">
        <v>185608</v>
      </c>
      <c r="L11" s="86" t="str">
        <f t="shared" si="7"/>
        <v>Project PPA 2</v>
      </c>
      <c r="M11" s="30">
        <f t="shared" ref="M11:M42" si="10">($AI11=M$1)*1</f>
        <v>0</v>
      </c>
      <c r="N11" s="30">
        <v>1</v>
      </c>
      <c r="O11" s="30">
        <f t="shared" ref="O11:AB11" si="11">($AI11=O$1)*1</f>
        <v>0</v>
      </c>
      <c r="P11" s="30">
        <f t="shared" si="11"/>
        <v>0</v>
      </c>
      <c r="Q11" s="30">
        <f t="shared" si="11"/>
        <v>0</v>
      </c>
      <c r="R11" s="30">
        <f t="shared" si="11"/>
        <v>0</v>
      </c>
      <c r="S11" s="43">
        <f t="shared" si="11"/>
        <v>0</v>
      </c>
      <c r="T11" s="43">
        <f t="shared" si="11"/>
        <v>0</v>
      </c>
      <c r="U11" s="43">
        <f t="shared" si="11"/>
        <v>0</v>
      </c>
      <c r="V11" s="43">
        <f t="shared" si="11"/>
        <v>0</v>
      </c>
      <c r="W11" s="43">
        <f t="shared" si="11"/>
        <v>0</v>
      </c>
      <c r="X11" s="43">
        <f t="shared" si="11"/>
        <v>0</v>
      </c>
      <c r="Y11" s="43">
        <f t="shared" si="11"/>
        <v>0</v>
      </c>
      <c r="Z11" s="43">
        <f t="shared" si="11"/>
        <v>0</v>
      </c>
      <c r="AA11" s="43">
        <f t="shared" si="11"/>
        <v>0</v>
      </c>
      <c r="AB11" s="43" t="e">
        <f t="shared" si="11"/>
        <v>#N/A</v>
      </c>
      <c r="AC11" s="73">
        <f t="shared" si="9"/>
        <v>185608</v>
      </c>
      <c r="AD11" s="70">
        <v>1</v>
      </c>
      <c r="AE11" s="71">
        <f t="shared" ref="AE11:AE14" si="12">AC11</f>
        <v>185608</v>
      </c>
      <c r="AF11" s="80">
        <f t="shared" ref="AF11:AF14" si="13">AC11</f>
        <v>185608</v>
      </c>
      <c r="AG11" s="71">
        <v>0</v>
      </c>
      <c r="AH11" s="71"/>
      <c r="AI11" s="49" t="s">
        <v>37</v>
      </c>
      <c r="AJ11" s="32">
        <v>15</v>
      </c>
      <c r="AK11" s="11">
        <v>15</v>
      </c>
      <c r="AL11" s="11">
        <v>9</v>
      </c>
    </row>
    <row r="12" spans="1:64" ht="15" x14ac:dyDescent="0.25">
      <c r="A12" s="87">
        <v>429</v>
      </c>
      <c r="B12" s="82" t="s">
        <v>66</v>
      </c>
      <c r="C12" s="61">
        <v>67.38</v>
      </c>
      <c r="D12" s="83">
        <f t="shared" si="4"/>
        <v>5659.92</v>
      </c>
      <c r="E12" s="65">
        <v>194714</v>
      </c>
      <c r="F12" s="83">
        <f t="shared" si="5"/>
        <v>83448.857142857145</v>
      </c>
      <c r="G12" s="84">
        <f t="shared" si="6"/>
        <v>83448.857142857145</v>
      </c>
      <c r="H12" s="82" t="s">
        <v>18</v>
      </c>
      <c r="I12" s="83">
        <v>309703</v>
      </c>
      <c r="J12" s="83" t="s">
        <v>26</v>
      </c>
      <c r="K12" s="83">
        <v>309703</v>
      </c>
      <c r="L12" s="86" t="str">
        <f t="shared" si="7"/>
        <v>Project PPA 3</v>
      </c>
      <c r="M12" s="30">
        <f t="shared" si="10"/>
        <v>0</v>
      </c>
      <c r="N12" s="30">
        <f>($AI12=N$1)*1</f>
        <v>0</v>
      </c>
      <c r="O12" s="30">
        <f>($AI12=O$1)*1</f>
        <v>0</v>
      </c>
      <c r="P12" s="30">
        <f>($AI12=P$1)*1</f>
        <v>0</v>
      </c>
      <c r="Q12" s="30">
        <v>1</v>
      </c>
      <c r="R12" s="30">
        <f t="shared" ref="R12:AB13" si="14">($AI12=R$1)*1</f>
        <v>0</v>
      </c>
      <c r="S12" s="43">
        <f t="shared" si="14"/>
        <v>0</v>
      </c>
      <c r="T12" s="43">
        <f t="shared" si="14"/>
        <v>0</v>
      </c>
      <c r="U12" s="43">
        <f t="shared" si="14"/>
        <v>0</v>
      </c>
      <c r="V12" s="43">
        <f t="shared" si="14"/>
        <v>0</v>
      </c>
      <c r="W12" s="43">
        <f t="shared" si="14"/>
        <v>0</v>
      </c>
      <c r="X12" s="43">
        <f t="shared" si="14"/>
        <v>0</v>
      </c>
      <c r="Y12" s="43">
        <f t="shared" si="14"/>
        <v>0</v>
      </c>
      <c r="Z12" s="43">
        <f t="shared" si="14"/>
        <v>0</v>
      </c>
      <c r="AA12" s="43">
        <f t="shared" si="14"/>
        <v>0</v>
      </c>
      <c r="AB12" s="43" t="e">
        <f t="shared" si="14"/>
        <v>#N/A</v>
      </c>
      <c r="AC12" s="73">
        <f t="shared" si="9"/>
        <v>309703</v>
      </c>
      <c r="AD12" s="70">
        <v>1</v>
      </c>
      <c r="AE12" s="71">
        <f t="shared" si="12"/>
        <v>309703</v>
      </c>
      <c r="AF12" s="80">
        <f t="shared" si="13"/>
        <v>309703</v>
      </c>
      <c r="AG12" s="71">
        <v>0</v>
      </c>
      <c r="AH12" s="71"/>
      <c r="AI12" s="49" t="s">
        <v>37</v>
      </c>
      <c r="AJ12" s="32">
        <v>10</v>
      </c>
      <c r="AK12" s="11">
        <v>10</v>
      </c>
      <c r="AL12" s="11">
        <v>16</v>
      </c>
    </row>
    <row r="13" spans="1:64" ht="15.75" thickBot="1" x14ac:dyDescent="0.3">
      <c r="A13" s="87">
        <v>427</v>
      </c>
      <c r="B13" s="82" t="s">
        <v>67</v>
      </c>
      <c r="C13" s="61">
        <v>33.119999999999997</v>
      </c>
      <c r="D13" s="83">
        <f t="shared" si="4"/>
        <v>2782.08</v>
      </c>
      <c r="E13" s="65">
        <v>80740</v>
      </c>
      <c r="F13" s="83">
        <f t="shared" si="5"/>
        <v>34602.857142857145</v>
      </c>
      <c r="G13" s="84">
        <f t="shared" si="6"/>
        <v>34602.857142857145</v>
      </c>
      <c r="H13" s="82" t="s">
        <v>18</v>
      </c>
      <c r="I13" s="83">
        <v>71605</v>
      </c>
      <c r="J13" s="83" t="s">
        <v>63</v>
      </c>
      <c r="K13" s="83">
        <v>71605</v>
      </c>
      <c r="L13" s="86" t="str">
        <f t="shared" si="7"/>
        <v>Project PPA 4</v>
      </c>
      <c r="M13" s="30">
        <f t="shared" si="10"/>
        <v>0</v>
      </c>
      <c r="N13" s="30">
        <f t="shared" ref="N13:N44" si="15">($AI13=N$1)*1</f>
        <v>0</v>
      </c>
      <c r="O13" s="30">
        <v>1</v>
      </c>
      <c r="P13" s="30">
        <f t="shared" ref="P13:Q32" si="16">($AI13=P$1)*1</f>
        <v>0</v>
      </c>
      <c r="Q13" s="30">
        <f t="shared" si="16"/>
        <v>0</v>
      </c>
      <c r="R13" s="30">
        <f t="shared" si="14"/>
        <v>0</v>
      </c>
      <c r="S13" s="43">
        <f t="shared" si="14"/>
        <v>0</v>
      </c>
      <c r="T13" s="43">
        <f t="shared" si="14"/>
        <v>0</v>
      </c>
      <c r="U13" s="43">
        <f t="shared" si="14"/>
        <v>0</v>
      </c>
      <c r="V13" s="43">
        <f t="shared" si="14"/>
        <v>0</v>
      </c>
      <c r="W13" s="43">
        <f t="shared" si="14"/>
        <v>0</v>
      </c>
      <c r="X13" s="43">
        <f t="shared" si="14"/>
        <v>0</v>
      </c>
      <c r="Y13" s="43">
        <f t="shared" si="14"/>
        <v>0</v>
      </c>
      <c r="Z13" s="43">
        <f t="shared" si="14"/>
        <v>0</v>
      </c>
      <c r="AA13" s="43">
        <f t="shared" si="14"/>
        <v>0</v>
      </c>
      <c r="AB13" s="43" t="e">
        <f t="shared" si="14"/>
        <v>#N/A</v>
      </c>
      <c r="AC13" s="73">
        <f>SUM(M13:AA13)*I13</f>
        <v>71605</v>
      </c>
      <c r="AD13" s="70">
        <v>1</v>
      </c>
      <c r="AE13" s="71">
        <f>AC13</f>
        <v>71605</v>
      </c>
      <c r="AF13" s="80">
        <f t="shared" si="13"/>
        <v>71605</v>
      </c>
      <c r="AG13" s="71">
        <v>0</v>
      </c>
      <c r="AH13" s="71"/>
      <c r="AI13" s="49" t="s">
        <v>37</v>
      </c>
      <c r="AJ13" s="33">
        <v>15</v>
      </c>
      <c r="AK13" s="12">
        <v>16</v>
      </c>
      <c r="AL13" s="12">
        <v>11</v>
      </c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</row>
    <row r="14" spans="1:64" ht="15" x14ac:dyDescent="0.25">
      <c r="A14" s="87">
        <v>422</v>
      </c>
      <c r="B14" s="82" t="s">
        <v>68</v>
      </c>
      <c r="C14" s="61">
        <v>17.100000000000001</v>
      </c>
      <c r="D14" s="83">
        <f t="shared" si="4"/>
        <v>1436.4</v>
      </c>
      <c r="E14" s="65">
        <v>43605</v>
      </c>
      <c r="F14" s="83">
        <f t="shared" si="5"/>
        <v>18687.857142857141</v>
      </c>
      <c r="G14" s="84">
        <f t="shared" si="6"/>
        <v>18687.857142857141</v>
      </c>
      <c r="H14" s="82" t="s">
        <v>18</v>
      </c>
      <c r="I14" s="83">
        <v>250086</v>
      </c>
      <c r="J14" s="83" t="s">
        <v>23</v>
      </c>
      <c r="K14" s="83">
        <v>250086</v>
      </c>
      <c r="L14" s="86" t="str">
        <f t="shared" si="7"/>
        <v>Project PPA 5</v>
      </c>
      <c r="M14" s="30">
        <f t="shared" si="10"/>
        <v>0</v>
      </c>
      <c r="N14" s="30">
        <f t="shared" si="15"/>
        <v>0</v>
      </c>
      <c r="O14" s="30">
        <f t="shared" ref="O14:O45" si="17">($AI14=O$1)*1</f>
        <v>0</v>
      </c>
      <c r="P14" s="30">
        <f t="shared" si="16"/>
        <v>0</v>
      </c>
      <c r="Q14" s="30">
        <f t="shared" si="16"/>
        <v>0</v>
      </c>
      <c r="R14" s="30">
        <v>1</v>
      </c>
      <c r="S14" s="43">
        <f t="shared" ref="S14:AB23" si="18">($AI14=S$1)*1</f>
        <v>0</v>
      </c>
      <c r="T14" s="43">
        <f t="shared" si="18"/>
        <v>0</v>
      </c>
      <c r="U14" s="43">
        <f t="shared" si="18"/>
        <v>0</v>
      </c>
      <c r="V14" s="43">
        <f t="shared" si="18"/>
        <v>0</v>
      </c>
      <c r="W14" s="43">
        <f t="shared" si="18"/>
        <v>0</v>
      </c>
      <c r="X14" s="43">
        <f t="shared" si="18"/>
        <v>0</v>
      </c>
      <c r="Y14" s="43">
        <f t="shared" si="18"/>
        <v>0</v>
      </c>
      <c r="Z14" s="43">
        <f t="shared" si="18"/>
        <v>0</v>
      </c>
      <c r="AA14" s="43">
        <f t="shared" si="18"/>
        <v>0</v>
      </c>
      <c r="AB14" s="43" t="e">
        <f t="shared" si="18"/>
        <v>#N/A</v>
      </c>
      <c r="AC14" s="73">
        <f>SUM(M14:AA14)*I14</f>
        <v>250086</v>
      </c>
      <c r="AD14" s="70">
        <v>1</v>
      </c>
      <c r="AE14" s="71">
        <f t="shared" si="12"/>
        <v>250086</v>
      </c>
      <c r="AF14" s="80">
        <f t="shared" si="13"/>
        <v>250086</v>
      </c>
      <c r="AG14" s="71">
        <v>0</v>
      </c>
      <c r="AH14" s="71"/>
      <c r="AI14" s="49" t="s">
        <v>37</v>
      </c>
      <c r="AJ14" s="34">
        <v>10000</v>
      </c>
      <c r="AK14" s="14">
        <v>100000</v>
      </c>
      <c r="AL14" s="14">
        <v>45000</v>
      </c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</row>
    <row r="15" spans="1:64" ht="15" x14ac:dyDescent="0.25">
      <c r="A15" s="87">
        <v>352</v>
      </c>
      <c r="B15" s="82" t="s">
        <v>69</v>
      </c>
      <c r="C15" s="61">
        <v>49.92</v>
      </c>
      <c r="D15" s="83">
        <f>C15*14*6</f>
        <v>4193.28</v>
      </c>
      <c r="E15" s="83">
        <v>176941.44</v>
      </c>
      <c r="F15" s="83">
        <f>IF(AI15=0,(E15/(1-0.3))*0.3,(E15/(1-0.3*AD15))*0.3)</f>
        <v>73930.96378830084</v>
      </c>
      <c r="G15" s="84">
        <f>IF(AI15=0,F15*1,F15*AD15)</f>
        <v>69495.105961002788</v>
      </c>
      <c r="H15" s="88" t="s">
        <v>18</v>
      </c>
      <c r="I15" s="83">
        <f>G15+D15</f>
        <v>73688.385961002787</v>
      </c>
      <c r="J15" s="83" t="s">
        <v>5</v>
      </c>
      <c r="K15" s="83">
        <v>9935</v>
      </c>
      <c r="L15" s="86" t="str">
        <f t="shared" si="7"/>
        <v>Project PPA 6</v>
      </c>
      <c r="M15" s="30">
        <f t="shared" si="10"/>
        <v>0</v>
      </c>
      <c r="N15" s="30">
        <f t="shared" si="15"/>
        <v>0</v>
      </c>
      <c r="O15" s="30">
        <f t="shared" si="17"/>
        <v>0</v>
      </c>
      <c r="P15" s="30">
        <f t="shared" si="16"/>
        <v>0</v>
      </c>
      <c r="Q15" s="30">
        <f t="shared" si="16"/>
        <v>0</v>
      </c>
      <c r="R15" s="30">
        <f t="shared" ref="R15:R46" si="19">($AI15=R$1)*1</f>
        <v>0</v>
      </c>
      <c r="S15" s="43">
        <f t="shared" si="18"/>
        <v>1</v>
      </c>
      <c r="T15" s="43">
        <f t="shared" si="18"/>
        <v>0</v>
      </c>
      <c r="U15" s="43">
        <f t="shared" si="18"/>
        <v>0</v>
      </c>
      <c r="V15" s="43">
        <f t="shared" si="18"/>
        <v>0</v>
      </c>
      <c r="W15" s="43">
        <f t="shared" si="18"/>
        <v>0</v>
      </c>
      <c r="X15" s="43">
        <f t="shared" si="18"/>
        <v>0</v>
      </c>
      <c r="Y15" s="43">
        <f t="shared" si="18"/>
        <v>0</v>
      </c>
      <c r="Z15" s="43">
        <f t="shared" si="18"/>
        <v>0</v>
      </c>
      <c r="AA15" s="43">
        <f t="shared" si="18"/>
        <v>0</v>
      </c>
      <c r="AB15" s="30" t="e">
        <f t="shared" si="18"/>
        <v>#N/A</v>
      </c>
      <c r="AC15" s="73">
        <f t="shared" ref="AC15:AC77" si="20">SUM(M15:AA15)*I15</f>
        <v>73688.385961002787</v>
      </c>
      <c r="AD15" s="70">
        <f t="array" ref="AD15">(PRODUCT(IF($AW$15:$BE$15=AI15,$AW$17:$BE$17)))</f>
        <v>0.94</v>
      </c>
      <c r="AE15" s="71">
        <f>AC15-K15</f>
        <v>63753.385961002787</v>
      </c>
      <c r="AF15" s="71">
        <f>(E15/(1-0.3)*0.3)+D15</f>
        <v>80025.325714285718</v>
      </c>
      <c r="AG15" s="71">
        <f>AF15-K15</f>
        <v>70090.325714285718</v>
      </c>
      <c r="AH15" s="71">
        <f>AF15-I15</f>
        <v>6336.9397532829316</v>
      </c>
      <c r="AI15" s="49">
        <v>1</v>
      </c>
      <c r="AJ15" s="34">
        <v>18000</v>
      </c>
      <c r="AK15" s="14">
        <v>78000</v>
      </c>
      <c r="AL15" s="14">
        <v>32000</v>
      </c>
      <c r="AV15" s="9"/>
      <c r="AW15" s="37">
        <v>1</v>
      </c>
      <c r="AX15" s="37">
        <v>2</v>
      </c>
      <c r="AY15" s="37">
        <v>3</v>
      </c>
      <c r="AZ15" s="37">
        <v>4</v>
      </c>
      <c r="BA15" s="37">
        <v>5</v>
      </c>
      <c r="BB15" s="37">
        <v>6</v>
      </c>
      <c r="BC15" s="37">
        <v>7</v>
      </c>
      <c r="BD15" s="37">
        <v>8</v>
      </c>
      <c r="BE15" s="37">
        <v>9</v>
      </c>
      <c r="BF15" s="9"/>
      <c r="BG15" s="9"/>
      <c r="BH15" s="9"/>
      <c r="BI15" s="9"/>
      <c r="BJ15" s="9"/>
      <c r="BK15" s="9"/>
      <c r="BL15" s="9"/>
    </row>
    <row r="16" spans="1:64" ht="15" x14ac:dyDescent="0.2">
      <c r="A16" s="30">
        <v>492</v>
      </c>
      <c r="B16" s="123" t="s">
        <v>70</v>
      </c>
      <c r="C16" s="62">
        <v>7.75</v>
      </c>
      <c r="D16" s="28">
        <f t="shared" ref="D16:D79" si="21">C16*14*6</f>
        <v>651</v>
      </c>
      <c r="E16" s="63">
        <v>25100</v>
      </c>
      <c r="F16" s="28">
        <f t="shared" ref="F16:F21" si="22">IF(AI16=0,(E16/(1-0.3))*0.3,(E16/(1-0.3*AD16))*0.3)</f>
        <v>10272.851296043656</v>
      </c>
      <c r="G16" s="64">
        <f>IF(AI16=0,F16*1,F16*AD16)</f>
        <v>9142.8376534788549</v>
      </c>
      <c r="H16" s="31" t="s">
        <v>19</v>
      </c>
      <c r="I16" s="28">
        <f>G16+D16</f>
        <v>9793.8376534788549</v>
      </c>
      <c r="J16" s="28" t="s">
        <v>4</v>
      </c>
      <c r="K16" s="28">
        <v>5757</v>
      </c>
      <c r="L16" s="29" t="str">
        <f t="shared" ref="L16:L79" si="23">B16</f>
        <v>Project Prepay 1</v>
      </c>
      <c r="M16" s="43">
        <f t="shared" si="10"/>
        <v>0</v>
      </c>
      <c r="N16" s="43">
        <f t="shared" si="15"/>
        <v>0</v>
      </c>
      <c r="O16" s="43">
        <f t="shared" si="17"/>
        <v>0</v>
      </c>
      <c r="P16" s="43">
        <f t="shared" si="16"/>
        <v>0</v>
      </c>
      <c r="Q16" s="43">
        <f t="shared" si="16"/>
        <v>0</v>
      </c>
      <c r="R16" s="43">
        <f t="shared" si="19"/>
        <v>0</v>
      </c>
      <c r="S16" s="43">
        <f t="shared" si="18"/>
        <v>0</v>
      </c>
      <c r="T16" s="43">
        <f t="shared" si="18"/>
        <v>0</v>
      </c>
      <c r="U16" s="43">
        <f t="shared" si="18"/>
        <v>0</v>
      </c>
      <c r="V16" s="43">
        <f t="shared" si="18"/>
        <v>0</v>
      </c>
      <c r="W16" s="43">
        <f t="shared" si="18"/>
        <v>0</v>
      </c>
      <c r="X16" s="43">
        <f t="shared" si="18"/>
        <v>0</v>
      </c>
      <c r="Y16" s="43">
        <f t="shared" si="18"/>
        <v>0</v>
      </c>
      <c r="Z16" s="43">
        <f t="shared" si="18"/>
        <v>1</v>
      </c>
      <c r="AA16" s="43">
        <f t="shared" si="18"/>
        <v>0</v>
      </c>
      <c r="AB16" s="30" t="e">
        <f t="shared" si="18"/>
        <v>#N/A</v>
      </c>
      <c r="AC16" s="73">
        <f t="shared" si="20"/>
        <v>9793.8376534788549</v>
      </c>
      <c r="AD16" s="70">
        <f t="array" ref="AD16">(PRODUCT(IF($AW$15:$BE$15=AI16,$AW$17:$BE$17)))</f>
        <v>0.89</v>
      </c>
      <c r="AE16" s="71">
        <f>AC16-K16</f>
        <v>4036.8376534788549</v>
      </c>
      <c r="AF16" s="71">
        <f t="shared" ref="AF16:AF79" si="24">(E16/(1-0.3)*0.3)+D16</f>
        <v>11408.142857142859</v>
      </c>
      <c r="AG16" s="71">
        <f>AF16-K16</f>
        <v>5651.1428571428587</v>
      </c>
      <c r="AH16" s="71">
        <f t="shared" ref="AH16:AH79" si="25">AF16-I16</f>
        <v>1614.3052036640038</v>
      </c>
      <c r="AI16" s="49">
        <v>8</v>
      </c>
      <c r="AJ16" s="34">
        <v>45000</v>
      </c>
      <c r="AK16" s="14">
        <v>45000</v>
      </c>
      <c r="AL16" s="14">
        <v>18900</v>
      </c>
      <c r="AV16" s="9"/>
      <c r="AW16" s="54" t="s">
        <v>3</v>
      </c>
      <c r="AX16" s="54" t="s">
        <v>4</v>
      </c>
      <c r="AY16" s="54" t="s">
        <v>5</v>
      </c>
      <c r="AZ16" s="54" t="s">
        <v>6</v>
      </c>
      <c r="BA16" s="54" t="s">
        <v>22</v>
      </c>
      <c r="BB16" s="54" t="s">
        <v>12</v>
      </c>
      <c r="BC16" s="54" t="s">
        <v>23</v>
      </c>
      <c r="BD16" s="54" t="s">
        <v>25</v>
      </c>
      <c r="BE16" s="54" t="s">
        <v>16</v>
      </c>
      <c r="BF16" s="9"/>
      <c r="BG16" s="9"/>
      <c r="BH16" s="9"/>
      <c r="BI16" s="9"/>
      <c r="BJ16" s="9"/>
      <c r="BK16" s="9"/>
      <c r="BL16" s="9"/>
    </row>
    <row r="17" spans="1:64" x14ac:dyDescent="0.2">
      <c r="A17" s="30">
        <v>487</v>
      </c>
      <c r="B17" s="123" t="s">
        <v>71</v>
      </c>
      <c r="C17" s="62">
        <v>4.34</v>
      </c>
      <c r="D17" s="28">
        <f t="shared" si="21"/>
        <v>364.56</v>
      </c>
      <c r="E17" s="63">
        <v>13800</v>
      </c>
      <c r="F17" s="28">
        <f t="shared" si="22"/>
        <v>6017.4418604651164</v>
      </c>
      <c r="G17" s="64">
        <f t="shared" ref="G17:G79" si="26">IF(AI17=0,F17*1,F17*AD17)</f>
        <v>6258.1395348837214</v>
      </c>
      <c r="H17" s="27" t="s">
        <v>19</v>
      </c>
      <c r="I17" s="28">
        <f t="shared" ref="I17:I79" si="27">G17+D17</f>
        <v>6622.6995348837218</v>
      </c>
      <c r="J17" s="28" t="s">
        <v>23</v>
      </c>
      <c r="K17" s="28">
        <v>18795</v>
      </c>
      <c r="L17" s="29" t="str">
        <f t="shared" si="23"/>
        <v>Project Prepay 2</v>
      </c>
      <c r="M17" s="43">
        <f t="shared" si="10"/>
        <v>0</v>
      </c>
      <c r="N17" s="43">
        <f t="shared" si="15"/>
        <v>0</v>
      </c>
      <c r="O17" s="43">
        <f t="shared" si="17"/>
        <v>0</v>
      </c>
      <c r="P17" s="43">
        <f t="shared" si="16"/>
        <v>0</v>
      </c>
      <c r="Q17" s="43">
        <f t="shared" si="16"/>
        <v>0</v>
      </c>
      <c r="R17" s="43">
        <f t="shared" si="19"/>
        <v>0</v>
      </c>
      <c r="S17" s="43">
        <f t="shared" si="18"/>
        <v>0</v>
      </c>
      <c r="T17" s="43">
        <f t="shared" si="18"/>
        <v>0</v>
      </c>
      <c r="U17" s="43">
        <f t="shared" si="18"/>
        <v>1</v>
      </c>
      <c r="V17" s="43">
        <f t="shared" si="18"/>
        <v>0</v>
      </c>
      <c r="W17" s="43">
        <f t="shared" si="18"/>
        <v>0</v>
      </c>
      <c r="X17" s="43">
        <f t="shared" si="18"/>
        <v>0</v>
      </c>
      <c r="Y17" s="43">
        <f t="shared" si="18"/>
        <v>0</v>
      </c>
      <c r="Z17" s="43">
        <f t="shared" si="18"/>
        <v>0</v>
      </c>
      <c r="AA17" s="43">
        <f t="shared" si="18"/>
        <v>0</v>
      </c>
      <c r="AB17" s="30" t="e">
        <f t="shared" si="18"/>
        <v>#N/A</v>
      </c>
      <c r="AC17" s="73">
        <f t="shared" si="20"/>
        <v>6622.6995348837218</v>
      </c>
      <c r="AD17" s="70">
        <f t="array" ref="AD17">(PRODUCT(IF($AW$15:$BE$15=AI17,$AW$17:$BE$17)))</f>
        <v>1.04</v>
      </c>
      <c r="AE17" s="71">
        <f t="shared" ref="AE17:AE79" si="28">AC17-K17</f>
        <v>-12172.300465116277</v>
      </c>
      <c r="AF17" s="71">
        <f t="shared" si="24"/>
        <v>6278.8457142857142</v>
      </c>
      <c r="AG17" s="71">
        <f t="shared" ref="AG17:AG79" si="29">AF17-K17</f>
        <v>-12516.154285714285</v>
      </c>
      <c r="AH17" s="71">
        <f t="shared" si="25"/>
        <v>-343.85382059800759</v>
      </c>
      <c r="AI17" s="49">
        <v>3</v>
      </c>
      <c r="AJ17" s="34">
        <v>12000</v>
      </c>
      <c r="AK17" s="14">
        <v>30000</v>
      </c>
      <c r="AL17" s="14">
        <v>45000</v>
      </c>
      <c r="AV17" s="9"/>
      <c r="AW17" s="55">
        <v>0.94</v>
      </c>
      <c r="AX17" s="55">
        <v>0.9</v>
      </c>
      <c r="AY17" s="55">
        <v>1.04</v>
      </c>
      <c r="AZ17" s="55">
        <v>0.94</v>
      </c>
      <c r="BA17" s="55">
        <v>0.86</v>
      </c>
      <c r="BB17" s="55">
        <v>0.89</v>
      </c>
      <c r="BC17" s="55">
        <v>0.94</v>
      </c>
      <c r="BD17" s="55">
        <v>0.89</v>
      </c>
      <c r="BE17" s="55">
        <v>0.94</v>
      </c>
      <c r="BF17" s="50"/>
      <c r="BG17" s="50"/>
      <c r="BH17" s="50"/>
      <c r="BI17" s="50"/>
      <c r="BJ17" s="50"/>
      <c r="BK17" s="50"/>
      <c r="BL17" s="9"/>
    </row>
    <row r="18" spans="1:64" x14ac:dyDescent="0.2">
      <c r="A18" s="30">
        <v>479</v>
      </c>
      <c r="B18" s="123" t="s">
        <v>72</v>
      </c>
      <c r="C18" s="62">
        <v>13.09</v>
      </c>
      <c r="D18" s="28">
        <f t="shared" si="21"/>
        <v>1099.56</v>
      </c>
      <c r="E18" s="63">
        <v>47844</v>
      </c>
      <c r="F18" s="28">
        <f t="shared" si="22"/>
        <v>19661.917808219179</v>
      </c>
      <c r="G18" s="64">
        <f t="shared" si="26"/>
        <v>17695.726027397261</v>
      </c>
      <c r="H18" s="27" t="s">
        <v>19</v>
      </c>
      <c r="I18" s="28">
        <f t="shared" si="27"/>
        <v>18795.286027397262</v>
      </c>
      <c r="J18" s="28" t="s">
        <v>4</v>
      </c>
      <c r="K18" s="28">
        <v>12599</v>
      </c>
      <c r="L18" s="29" t="str">
        <f t="shared" si="23"/>
        <v>Project Prepay 3</v>
      </c>
      <c r="M18" s="43">
        <f t="shared" si="10"/>
        <v>0</v>
      </c>
      <c r="N18" s="43">
        <f t="shared" si="15"/>
        <v>0</v>
      </c>
      <c r="O18" s="43">
        <f t="shared" si="17"/>
        <v>0</v>
      </c>
      <c r="P18" s="43">
        <f t="shared" si="16"/>
        <v>0</v>
      </c>
      <c r="Q18" s="43">
        <f t="shared" si="16"/>
        <v>0</v>
      </c>
      <c r="R18" s="43">
        <f t="shared" si="19"/>
        <v>0</v>
      </c>
      <c r="S18" s="43">
        <f t="shared" si="18"/>
        <v>0</v>
      </c>
      <c r="T18" s="43">
        <f t="shared" si="18"/>
        <v>1</v>
      </c>
      <c r="U18" s="43">
        <f t="shared" si="18"/>
        <v>0</v>
      </c>
      <c r="V18" s="43">
        <f t="shared" si="18"/>
        <v>0</v>
      </c>
      <c r="W18" s="43">
        <f t="shared" si="18"/>
        <v>0</v>
      </c>
      <c r="X18" s="43">
        <f t="shared" si="18"/>
        <v>0</v>
      </c>
      <c r="Y18" s="43">
        <f t="shared" si="18"/>
        <v>0</v>
      </c>
      <c r="Z18" s="43">
        <f t="shared" si="18"/>
        <v>0</v>
      </c>
      <c r="AA18" s="43">
        <f t="shared" si="18"/>
        <v>0</v>
      </c>
      <c r="AB18" s="30" t="e">
        <f t="shared" si="18"/>
        <v>#N/A</v>
      </c>
      <c r="AC18" s="73">
        <f t="shared" si="20"/>
        <v>18795.286027397262</v>
      </c>
      <c r="AD18" s="70">
        <f t="array" ref="AD18">(PRODUCT(IF($AW$15:$BE$15=AI18,$AW$17:$BE$17)))</f>
        <v>0.9</v>
      </c>
      <c r="AE18" s="71">
        <f t="shared" si="28"/>
        <v>6196.2860273972619</v>
      </c>
      <c r="AF18" s="71">
        <f t="shared" si="24"/>
        <v>21604.131428571432</v>
      </c>
      <c r="AG18" s="71">
        <f t="shared" si="29"/>
        <v>9005.1314285714325</v>
      </c>
      <c r="AH18" s="71">
        <f t="shared" si="25"/>
        <v>2808.8454011741705</v>
      </c>
      <c r="AI18" s="49">
        <v>2</v>
      </c>
      <c r="AV18" s="9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2"/>
      <c r="BL18" s="9"/>
    </row>
    <row r="19" spans="1:64" x14ac:dyDescent="0.2">
      <c r="A19" s="30">
        <v>475</v>
      </c>
      <c r="B19" s="123" t="s">
        <v>73</v>
      </c>
      <c r="C19" s="62">
        <v>9.92</v>
      </c>
      <c r="D19" s="28">
        <f t="shared" si="21"/>
        <v>833.28</v>
      </c>
      <c r="E19" s="63">
        <v>32300</v>
      </c>
      <c r="F19" s="28">
        <f t="shared" si="22"/>
        <v>14084.302325581397</v>
      </c>
      <c r="G19" s="64">
        <f t="shared" si="26"/>
        <v>14647.674418604653</v>
      </c>
      <c r="H19" s="27" t="s">
        <v>19</v>
      </c>
      <c r="I19" s="28">
        <f t="shared" si="27"/>
        <v>15480.954418604653</v>
      </c>
      <c r="J19" s="28" t="s">
        <v>25</v>
      </c>
      <c r="K19" s="28">
        <v>18581</v>
      </c>
      <c r="L19" s="29" t="str">
        <f t="shared" si="23"/>
        <v>Project Prepay 4</v>
      </c>
      <c r="M19" s="43">
        <f t="shared" si="10"/>
        <v>0</v>
      </c>
      <c r="N19" s="43">
        <f t="shared" si="15"/>
        <v>0</v>
      </c>
      <c r="O19" s="43">
        <f t="shared" si="17"/>
        <v>0</v>
      </c>
      <c r="P19" s="43">
        <f t="shared" si="16"/>
        <v>0</v>
      </c>
      <c r="Q19" s="43">
        <f t="shared" si="16"/>
        <v>0</v>
      </c>
      <c r="R19" s="43">
        <f t="shared" si="19"/>
        <v>0</v>
      </c>
      <c r="S19" s="43">
        <f t="shared" si="18"/>
        <v>0</v>
      </c>
      <c r="T19" s="43">
        <f t="shared" si="18"/>
        <v>0</v>
      </c>
      <c r="U19" s="43">
        <f t="shared" si="18"/>
        <v>1</v>
      </c>
      <c r="V19" s="43">
        <f t="shared" si="18"/>
        <v>0</v>
      </c>
      <c r="W19" s="43">
        <f t="shared" si="18"/>
        <v>0</v>
      </c>
      <c r="X19" s="43">
        <f t="shared" si="18"/>
        <v>0</v>
      </c>
      <c r="Y19" s="43">
        <f t="shared" si="18"/>
        <v>0</v>
      </c>
      <c r="Z19" s="43">
        <f t="shared" si="18"/>
        <v>0</v>
      </c>
      <c r="AA19" s="43">
        <f t="shared" si="18"/>
        <v>0</v>
      </c>
      <c r="AB19" s="30" t="e">
        <f t="shared" si="18"/>
        <v>#N/A</v>
      </c>
      <c r="AC19" s="73">
        <f t="shared" si="20"/>
        <v>15480.954418604653</v>
      </c>
      <c r="AD19" s="70">
        <f t="array" ref="AD19">(PRODUCT(IF($AW$15:$BE$15=AI19,$AW$17:$BE$17)))</f>
        <v>1.04</v>
      </c>
      <c r="AE19" s="71">
        <f t="shared" si="28"/>
        <v>-3100.0455813953467</v>
      </c>
      <c r="AF19" s="71">
        <f t="shared" si="24"/>
        <v>14676.137142857144</v>
      </c>
      <c r="AG19" s="71">
        <f t="shared" si="29"/>
        <v>-3904.8628571428562</v>
      </c>
      <c r="AH19" s="71">
        <f t="shared" si="25"/>
        <v>-804.81727574750948</v>
      </c>
      <c r="AI19" s="49">
        <v>3</v>
      </c>
      <c r="AV19" s="9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9"/>
    </row>
    <row r="20" spans="1:64" x14ac:dyDescent="0.2">
      <c r="A20" s="30">
        <v>473</v>
      </c>
      <c r="B20" s="123" t="s">
        <v>74</v>
      </c>
      <c r="C20" s="62">
        <v>11.22</v>
      </c>
      <c r="D20" s="28">
        <f t="shared" si="21"/>
        <v>942.48</v>
      </c>
      <c r="E20" s="28">
        <v>48258</v>
      </c>
      <c r="F20" s="28">
        <f t="shared" si="22"/>
        <v>19832.054794520547</v>
      </c>
      <c r="G20" s="64">
        <f t="shared" si="26"/>
        <v>17848.849315068492</v>
      </c>
      <c r="H20" s="27" t="s">
        <v>19</v>
      </c>
      <c r="I20" s="28">
        <f t="shared" si="27"/>
        <v>18791.329315068491</v>
      </c>
      <c r="J20" s="28" t="s">
        <v>25</v>
      </c>
      <c r="K20" s="28">
        <v>6872</v>
      </c>
      <c r="L20" s="29" t="str">
        <f t="shared" si="23"/>
        <v>Project Prepay 5</v>
      </c>
      <c r="M20" s="43">
        <f t="shared" si="10"/>
        <v>0</v>
      </c>
      <c r="N20" s="43">
        <f t="shared" si="15"/>
        <v>0</v>
      </c>
      <c r="O20" s="43">
        <f t="shared" si="17"/>
        <v>0</v>
      </c>
      <c r="P20" s="43">
        <f t="shared" si="16"/>
        <v>0</v>
      </c>
      <c r="Q20" s="43">
        <f t="shared" si="16"/>
        <v>0</v>
      </c>
      <c r="R20" s="43">
        <f t="shared" si="19"/>
        <v>0</v>
      </c>
      <c r="S20" s="43">
        <f t="shared" si="18"/>
        <v>0</v>
      </c>
      <c r="T20" s="43">
        <f t="shared" si="18"/>
        <v>1</v>
      </c>
      <c r="U20" s="43">
        <f t="shared" si="18"/>
        <v>0</v>
      </c>
      <c r="V20" s="43">
        <f t="shared" si="18"/>
        <v>0</v>
      </c>
      <c r="W20" s="43">
        <f t="shared" si="18"/>
        <v>0</v>
      </c>
      <c r="X20" s="43">
        <f t="shared" si="18"/>
        <v>0</v>
      </c>
      <c r="Y20" s="43">
        <f t="shared" si="18"/>
        <v>0</v>
      </c>
      <c r="Z20" s="43">
        <f t="shared" si="18"/>
        <v>0</v>
      </c>
      <c r="AA20" s="43">
        <f t="shared" si="18"/>
        <v>0</v>
      </c>
      <c r="AB20" s="30" t="e">
        <f t="shared" si="18"/>
        <v>#N/A</v>
      </c>
      <c r="AC20" s="73">
        <f>SUM(M20:AA20)*I20</f>
        <v>18791.329315068491</v>
      </c>
      <c r="AD20" s="70">
        <f t="array" ref="AD20">(PRODUCT(IF($AW$15:$BE$15=AI20,$AW$17:$BE$17)))</f>
        <v>0.9</v>
      </c>
      <c r="AE20" s="71">
        <f t="shared" si="28"/>
        <v>11919.329315068491</v>
      </c>
      <c r="AF20" s="71">
        <f t="shared" si="24"/>
        <v>21624.48</v>
      </c>
      <c r="AG20" s="71">
        <f t="shared" si="29"/>
        <v>14752.48</v>
      </c>
      <c r="AH20" s="71">
        <f t="shared" si="25"/>
        <v>2833.1506849315083</v>
      </c>
      <c r="AI20" s="49">
        <v>2</v>
      </c>
      <c r="AV20" s="53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9"/>
    </row>
    <row r="21" spans="1:64" x14ac:dyDescent="0.2">
      <c r="A21" s="30">
        <v>465</v>
      </c>
      <c r="B21" s="123" t="s">
        <v>75</v>
      </c>
      <c r="C21" s="62">
        <v>5.2</v>
      </c>
      <c r="D21" s="28">
        <f t="shared" si="21"/>
        <v>436.79999999999995</v>
      </c>
      <c r="E21" s="28">
        <v>17400</v>
      </c>
      <c r="F21" s="28">
        <f t="shared" si="22"/>
        <v>7150.6849315068494</v>
      </c>
      <c r="G21" s="64">
        <f t="shared" si="26"/>
        <v>6435.6164383561645</v>
      </c>
      <c r="H21" s="27" t="s">
        <v>19</v>
      </c>
      <c r="I21" s="28">
        <f t="shared" si="27"/>
        <v>6872.4164383561647</v>
      </c>
      <c r="J21" s="28" t="s">
        <v>4</v>
      </c>
      <c r="K21" s="28">
        <v>6024</v>
      </c>
      <c r="L21" s="29" t="str">
        <f t="shared" si="23"/>
        <v>Project Prepay 6</v>
      </c>
      <c r="M21" s="43">
        <f t="shared" si="10"/>
        <v>0</v>
      </c>
      <c r="N21" s="43">
        <f t="shared" si="15"/>
        <v>0</v>
      </c>
      <c r="O21" s="43">
        <f t="shared" si="17"/>
        <v>0</v>
      </c>
      <c r="P21" s="43">
        <f t="shared" si="16"/>
        <v>0</v>
      </c>
      <c r="Q21" s="43">
        <f t="shared" si="16"/>
        <v>0</v>
      </c>
      <c r="R21" s="43">
        <f t="shared" si="19"/>
        <v>0</v>
      </c>
      <c r="S21" s="43">
        <f t="shared" si="18"/>
        <v>0</v>
      </c>
      <c r="T21" s="43">
        <f t="shared" si="18"/>
        <v>1</v>
      </c>
      <c r="U21" s="43">
        <f t="shared" si="18"/>
        <v>0</v>
      </c>
      <c r="V21" s="43">
        <f t="shared" si="18"/>
        <v>0</v>
      </c>
      <c r="W21" s="43">
        <f t="shared" si="18"/>
        <v>0</v>
      </c>
      <c r="X21" s="43">
        <f t="shared" si="18"/>
        <v>0</v>
      </c>
      <c r="Y21" s="43">
        <f t="shared" si="18"/>
        <v>0</v>
      </c>
      <c r="Z21" s="43">
        <f t="shared" si="18"/>
        <v>0</v>
      </c>
      <c r="AA21" s="43">
        <f t="shared" si="18"/>
        <v>0</v>
      </c>
      <c r="AB21" s="30" t="e">
        <f t="shared" si="18"/>
        <v>#N/A</v>
      </c>
      <c r="AC21" s="73">
        <f t="shared" si="20"/>
        <v>6872.4164383561647</v>
      </c>
      <c r="AD21" s="70">
        <f t="array" ref="AD21">(PRODUCT(IF($AW$15:$BE$15=AI21,$AW$17:$BE$17)))</f>
        <v>0.9</v>
      </c>
      <c r="AE21" s="71">
        <f t="shared" si="28"/>
        <v>848.41643835616469</v>
      </c>
      <c r="AF21" s="71">
        <f t="shared" si="24"/>
        <v>7893.9428571428571</v>
      </c>
      <c r="AG21" s="71">
        <f t="shared" si="29"/>
        <v>1869.9428571428571</v>
      </c>
      <c r="AH21" s="71">
        <f t="shared" si="25"/>
        <v>1021.5264187866924</v>
      </c>
      <c r="AI21" s="49">
        <v>2</v>
      </c>
      <c r="AV21" s="53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9"/>
    </row>
    <row r="22" spans="1:64" x14ac:dyDescent="0.2">
      <c r="A22" s="30">
        <v>463</v>
      </c>
      <c r="B22" s="123" t="s">
        <v>76</v>
      </c>
      <c r="C22" s="62">
        <v>3.36</v>
      </c>
      <c r="D22" s="28">
        <f t="shared" si="21"/>
        <v>282.24</v>
      </c>
      <c r="E22" s="28">
        <v>15500</v>
      </c>
      <c r="F22" s="28">
        <f>IF(AI22=0,(E22/(1-0.3))*0.3,(E22/(1-0.3*AD22))*0.3)</f>
        <v>6476.3231197771593</v>
      </c>
      <c r="G22" s="64">
        <f t="shared" si="26"/>
        <v>6087.7437325905294</v>
      </c>
      <c r="H22" s="27" t="s">
        <v>19</v>
      </c>
      <c r="I22" s="28">
        <f t="shared" si="27"/>
        <v>6369.9837325905291</v>
      </c>
      <c r="J22" s="28" t="s">
        <v>4</v>
      </c>
      <c r="K22" s="28">
        <v>10923.2</v>
      </c>
      <c r="L22" s="29" t="str">
        <f t="shared" si="23"/>
        <v>Project Prepay 7</v>
      </c>
      <c r="M22" s="43">
        <f t="shared" si="10"/>
        <v>0</v>
      </c>
      <c r="N22" s="43">
        <f t="shared" si="15"/>
        <v>0</v>
      </c>
      <c r="O22" s="43">
        <f t="shared" si="17"/>
        <v>0</v>
      </c>
      <c r="P22" s="43">
        <f t="shared" si="16"/>
        <v>0</v>
      </c>
      <c r="Q22" s="43">
        <f t="shared" si="16"/>
        <v>0</v>
      </c>
      <c r="R22" s="43">
        <f t="shared" si="19"/>
        <v>0</v>
      </c>
      <c r="S22" s="43">
        <f t="shared" si="18"/>
        <v>1</v>
      </c>
      <c r="T22" s="43">
        <f t="shared" si="18"/>
        <v>0</v>
      </c>
      <c r="U22" s="43">
        <f t="shared" si="18"/>
        <v>0</v>
      </c>
      <c r="V22" s="43">
        <f t="shared" si="18"/>
        <v>0</v>
      </c>
      <c r="W22" s="43">
        <f t="shared" si="18"/>
        <v>0</v>
      </c>
      <c r="X22" s="43">
        <f t="shared" si="18"/>
        <v>0</v>
      </c>
      <c r="Y22" s="43">
        <f t="shared" si="18"/>
        <v>0</v>
      </c>
      <c r="Z22" s="43">
        <f t="shared" si="18"/>
        <v>0</v>
      </c>
      <c r="AA22" s="43">
        <f t="shared" si="18"/>
        <v>0</v>
      </c>
      <c r="AB22" s="30" t="e">
        <f t="shared" si="18"/>
        <v>#N/A</v>
      </c>
      <c r="AC22" s="73">
        <f t="shared" si="20"/>
        <v>6369.9837325905291</v>
      </c>
      <c r="AD22" s="70">
        <f t="array" ref="AD22">(PRODUCT(IF($AW$15:$BE$15=AI22,$AW$17:$BE$17)))</f>
        <v>0.94</v>
      </c>
      <c r="AE22" s="71">
        <f t="shared" si="28"/>
        <v>-4553.2162674094716</v>
      </c>
      <c r="AF22" s="71">
        <f t="shared" si="24"/>
        <v>6925.0971428571429</v>
      </c>
      <c r="AG22" s="71">
        <f t="shared" si="29"/>
        <v>-3998.1028571428578</v>
      </c>
      <c r="AH22" s="71">
        <f t="shared" si="25"/>
        <v>555.11341026661376</v>
      </c>
      <c r="AI22" s="35">
        <v>1</v>
      </c>
      <c r="AV22" s="53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9"/>
      <c r="BL22" s="9"/>
    </row>
    <row r="23" spans="1:64" x14ac:dyDescent="0.2">
      <c r="A23" s="30">
        <v>461</v>
      </c>
      <c r="B23" s="123" t="s">
        <v>77</v>
      </c>
      <c r="C23" s="62">
        <v>6.6</v>
      </c>
      <c r="D23" s="28">
        <f t="shared" si="21"/>
        <v>554.4</v>
      </c>
      <c r="E23" s="28">
        <v>26400</v>
      </c>
      <c r="F23" s="28">
        <f t="shared" ref="F23:F86" si="30">IF(AI23=0,(E23/(1-0.3))*0.3,(E23/(1-0.3*AD23))*0.3)</f>
        <v>10804.911323328784</v>
      </c>
      <c r="G23" s="64">
        <f t="shared" si="26"/>
        <v>9616.3710777626184</v>
      </c>
      <c r="H23" s="27" t="s">
        <v>19</v>
      </c>
      <c r="I23" s="28">
        <f t="shared" si="27"/>
        <v>10170.771077762618</v>
      </c>
      <c r="J23" s="28" t="s">
        <v>3</v>
      </c>
      <c r="K23" s="28">
        <v>7495</v>
      </c>
      <c r="L23" s="29" t="str">
        <f t="shared" si="23"/>
        <v>Project Prepay 8</v>
      </c>
      <c r="M23" s="43">
        <f t="shared" si="10"/>
        <v>0</v>
      </c>
      <c r="N23" s="43">
        <f t="shared" si="15"/>
        <v>0</v>
      </c>
      <c r="O23" s="43">
        <f t="shared" si="17"/>
        <v>0</v>
      </c>
      <c r="P23" s="43">
        <f t="shared" si="16"/>
        <v>0</v>
      </c>
      <c r="Q23" s="43">
        <f t="shared" si="16"/>
        <v>0</v>
      </c>
      <c r="R23" s="43">
        <f t="shared" si="19"/>
        <v>0</v>
      </c>
      <c r="S23" s="43">
        <f t="shared" si="18"/>
        <v>0</v>
      </c>
      <c r="T23" s="43">
        <f t="shared" si="18"/>
        <v>0</v>
      </c>
      <c r="U23" s="43">
        <f t="shared" si="18"/>
        <v>0</v>
      </c>
      <c r="V23" s="43">
        <f t="shared" si="18"/>
        <v>0</v>
      </c>
      <c r="W23" s="43">
        <f t="shared" si="18"/>
        <v>0</v>
      </c>
      <c r="X23" s="43">
        <f t="shared" si="18"/>
        <v>0</v>
      </c>
      <c r="Y23" s="43">
        <f t="shared" si="18"/>
        <v>0</v>
      </c>
      <c r="Z23" s="43">
        <f t="shared" si="18"/>
        <v>1</v>
      </c>
      <c r="AA23" s="43">
        <f t="shared" si="18"/>
        <v>0</v>
      </c>
      <c r="AB23" s="30" t="e">
        <f t="shared" si="18"/>
        <v>#N/A</v>
      </c>
      <c r="AC23" s="73">
        <f t="shared" si="20"/>
        <v>10170.771077762618</v>
      </c>
      <c r="AD23" s="70">
        <f t="array" ref="AD23">(PRODUCT(IF($AW$15:$BE$15=AI23,$AW$17:$BE$17)))</f>
        <v>0.89</v>
      </c>
      <c r="AE23" s="71">
        <f t="shared" si="28"/>
        <v>2675.771077762618</v>
      </c>
      <c r="AF23" s="71">
        <f t="shared" si="24"/>
        <v>11868.685714285715</v>
      </c>
      <c r="AG23" s="71">
        <f t="shared" si="29"/>
        <v>4373.6857142857152</v>
      </c>
      <c r="AH23" s="71">
        <f t="shared" si="25"/>
        <v>1697.9146365230972</v>
      </c>
      <c r="AI23" s="35">
        <v>8</v>
      </c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</row>
    <row r="24" spans="1:64" x14ac:dyDescent="0.2">
      <c r="A24" s="30">
        <v>459</v>
      </c>
      <c r="B24" s="123" t="s">
        <v>78</v>
      </c>
      <c r="C24" s="62">
        <v>5.0999999999999996</v>
      </c>
      <c r="D24" s="28">
        <f t="shared" si="21"/>
        <v>428.4</v>
      </c>
      <c r="E24" s="28">
        <v>19400</v>
      </c>
      <c r="F24" s="28">
        <f t="shared" si="30"/>
        <v>7972.6027397260277</v>
      </c>
      <c r="G24" s="64">
        <f t="shared" si="26"/>
        <v>7175.3424657534251</v>
      </c>
      <c r="H24" s="27" t="s">
        <v>19</v>
      </c>
      <c r="I24" s="28">
        <f t="shared" si="27"/>
        <v>7603.7424657534248</v>
      </c>
      <c r="J24" s="28" t="s">
        <v>25</v>
      </c>
      <c r="K24" s="28">
        <v>15717</v>
      </c>
      <c r="L24" s="29" t="str">
        <f t="shared" si="23"/>
        <v>Project Prepay 9</v>
      </c>
      <c r="M24" s="43">
        <f t="shared" si="10"/>
        <v>0</v>
      </c>
      <c r="N24" s="43">
        <f t="shared" si="15"/>
        <v>0</v>
      </c>
      <c r="O24" s="43">
        <f t="shared" si="17"/>
        <v>0</v>
      </c>
      <c r="P24" s="43">
        <f t="shared" si="16"/>
        <v>0</v>
      </c>
      <c r="Q24" s="43">
        <f t="shared" si="16"/>
        <v>0</v>
      </c>
      <c r="R24" s="43">
        <f t="shared" si="19"/>
        <v>0</v>
      </c>
      <c r="S24" s="43">
        <f t="shared" ref="S24:AB33" si="31">($AI24=S$1)*1</f>
        <v>0</v>
      </c>
      <c r="T24" s="43">
        <f t="shared" si="31"/>
        <v>1</v>
      </c>
      <c r="U24" s="43">
        <f t="shared" si="31"/>
        <v>0</v>
      </c>
      <c r="V24" s="43">
        <f t="shared" si="31"/>
        <v>0</v>
      </c>
      <c r="W24" s="43">
        <f t="shared" si="31"/>
        <v>0</v>
      </c>
      <c r="X24" s="43">
        <f t="shared" si="31"/>
        <v>0</v>
      </c>
      <c r="Y24" s="43">
        <f t="shared" si="31"/>
        <v>0</v>
      </c>
      <c r="Z24" s="43">
        <f t="shared" si="31"/>
        <v>0</v>
      </c>
      <c r="AA24" s="43">
        <f t="shared" si="31"/>
        <v>0</v>
      </c>
      <c r="AB24" s="30" t="e">
        <f t="shared" si="31"/>
        <v>#N/A</v>
      </c>
      <c r="AC24" s="73">
        <f t="shared" si="20"/>
        <v>7603.7424657534248</v>
      </c>
      <c r="AD24" s="70">
        <f t="array" ref="AD24">(PRODUCT(IF($AW$15:$BE$15=AI24,$AW$17:$BE$17)))</f>
        <v>0.9</v>
      </c>
      <c r="AE24" s="71">
        <f t="shared" si="28"/>
        <v>-8113.2575342465752</v>
      </c>
      <c r="AF24" s="71">
        <f t="shared" si="24"/>
        <v>8742.6857142857152</v>
      </c>
      <c r="AG24" s="71">
        <f t="shared" si="29"/>
        <v>-6974.3142857142848</v>
      </c>
      <c r="AH24" s="71">
        <f t="shared" si="25"/>
        <v>1138.9432485322905</v>
      </c>
      <c r="AI24" s="35">
        <v>2</v>
      </c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</row>
    <row r="25" spans="1:64" x14ac:dyDescent="0.2">
      <c r="A25" s="30">
        <v>457</v>
      </c>
      <c r="B25" s="123" t="s">
        <v>79</v>
      </c>
      <c r="C25" s="62">
        <v>5.7</v>
      </c>
      <c r="D25" s="28">
        <f t="shared" si="21"/>
        <v>478.79999999999995</v>
      </c>
      <c r="E25" s="28">
        <v>41200</v>
      </c>
      <c r="F25" s="28">
        <f t="shared" si="30"/>
        <v>17214.484679665737</v>
      </c>
      <c r="G25" s="64">
        <f t="shared" si="26"/>
        <v>16181.615598885792</v>
      </c>
      <c r="H25" s="27" t="s">
        <v>19</v>
      </c>
      <c r="I25" s="28">
        <f t="shared" si="27"/>
        <v>16660.415598885793</v>
      </c>
      <c r="J25" s="28" t="s">
        <v>4</v>
      </c>
      <c r="K25" s="28">
        <v>12889</v>
      </c>
      <c r="L25" s="29" t="str">
        <f t="shared" si="23"/>
        <v>Project Prepay 10</v>
      </c>
      <c r="M25" s="43">
        <f t="shared" si="10"/>
        <v>0</v>
      </c>
      <c r="N25" s="43">
        <f t="shared" si="15"/>
        <v>0</v>
      </c>
      <c r="O25" s="43">
        <f t="shared" si="17"/>
        <v>0</v>
      </c>
      <c r="P25" s="43">
        <f t="shared" si="16"/>
        <v>0</v>
      </c>
      <c r="Q25" s="43">
        <f t="shared" si="16"/>
        <v>0</v>
      </c>
      <c r="R25" s="43">
        <f t="shared" si="19"/>
        <v>0</v>
      </c>
      <c r="S25" s="43">
        <f t="shared" si="31"/>
        <v>0</v>
      </c>
      <c r="T25" s="43">
        <f t="shared" si="31"/>
        <v>0</v>
      </c>
      <c r="U25" s="43">
        <f t="shared" si="31"/>
        <v>0</v>
      </c>
      <c r="V25" s="43">
        <f t="shared" si="31"/>
        <v>0</v>
      </c>
      <c r="W25" s="43">
        <f t="shared" si="31"/>
        <v>0</v>
      </c>
      <c r="X25" s="43">
        <f t="shared" si="31"/>
        <v>0</v>
      </c>
      <c r="Y25" s="43">
        <f t="shared" si="31"/>
        <v>1</v>
      </c>
      <c r="Z25" s="43">
        <f t="shared" si="31"/>
        <v>0</v>
      </c>
      <c r="AA25" s="43">
        <f t="shared" si="31"/>
        <v>0</v>
      </c>
      <c r="AB25" s="30" t="e">
        <f t="shared" si="31"/>
        <v>#N/A</v>
      </c>
      <c r="AC25" s="73">
        <f t="shared" si="20"/>
        <v>16660.415598885793</v>
      </c>
      <c r="AD25" s="70">
        <f t="array" ref="AD25">(PRODUCT(IF($AW$15:$BE$15=AI25,$AW$17:$BE$17)))</f>
        <v>0.94</v>
      </c>
      <c r="AE25" s="71">
        <f t="shared" si="28"/>
        <v>3771.4155988857929</v>
      </c>
      <c r="AF25" s="71">
        <f t="shared" si="24"/>
        <v>18135.942857142858</v>
      </c>
      <c r="AG25" s="71">
        <f t="shared" si="29"/>
        <v>5246.942857142858</v>
      </c>
      <c r="AH25" s="71">
        <f t="shared" si="25"/>
        <v>1475.5272582570651</v>
      </c>
      <c r="AI25" s="35">
        <v>7</v>
      </c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</row>
    <row r="26" spans="1:64" s="9" customFormat="1" x14ac:dyDescent="0.2">
      <c r="A26" s="30">
        <v>455</v>
      </c>
      <c r="B26" s="123" t="s">
        <v>80</v>
      </c>
      <c r="C26" s="62">
        <v>10.83</v>
      </c>
      <c r="D26" s="28">
        <f t="shared" si="21"/>
        <v>909.72</v>
      </c>
      <c r="E26" s="28">
        <v>30500</v>
      </c>
      <c r="F26" s="28">
        <f t="shared" si="30"/>
        <v>13299.418604651164</v>
      </c>
      <c r="G26" s="64">
        <f t="shared" si="26"/>
        <v>13831.395348837212</v>
      </c>
      <c r="H26" s="27" t="s">
        <v>19</v>
      </c>
      <c r="I26" s="28">
        <f t="shared" si="27"/>
        <v>14741.115348837211</v>
      </c>
      <c r="J26" s="28" t="s">
        <v>6</v>
      </c>
      <c r="K26" s="28">
        <v>10874</v>
      </c>
      <c r="L26" s="29" t="str">
        <f t="shared" si="23"/>
        <v>Project Prepay 11</v>
      </c>
      <c r="M26" s="43">
        <f t="shared" si="10"/>
        <v>0</v>
      </c>
      <c r="N26" s="43">
        <f t="shared" si="15"/>
        <v>0</v>
      </c>
      <c r="O26" s="43">
        <f t="shared" si="17"/>
        <v>0</v>
      </c>
      <c r="P26" s="43">
        <f t="shared" si="16"/>
        <v>0</v>
      </c>
      <c r="Q26" s="43">
        <f t="shared" si="16"/>
        <v>0</v>
      </c>
      <c r="R26" s="43">
        <f t="shared" si="19"/>
        <v>0</v>
      </c>
      <c r="S26" s="43">
        <f t="shared" si="31"/>
        <v>0</v>
      </c>
      <c r="T26" s="43">
        <f t="shared" si="31"/>
        <v>0</v>
      </c>
      <c r="U26" s="43">
        <f t="shared" si="31"/>
        <v>1</v>
      </c>
      <c r="V26" s="43">
        <f t="shared" si="31"/>
        <v>0</v>
      </c>
      <c r="W26" s="43">
        <f t="shared" si="31"/>
        <v>0</v>
      </c>
      <c r="X26" s="43">
        <f t="shared" si="31"/>
        <v>0</v>
      </c>
      <c r="Y26" s="43">
        <f t="shared" si="31"/>
        <v>0</v>
      </c>
      <c r="Z26" s="43">
        <f t="shared" si="31"/>
        <v>0</v>
      </c>
      <c r="AA26" s="43">
        <f t="shared" si="31"/>
        <v>0</v>
      </c>
      <c r="AB26" s="42" t="e">
        <f t="shared" si="31"/>
        <v>#N/A</v>
      </c>
      <c r="AC26" s="73">
        <f t="shared" si="20"/>
        <v>14741.115348837211</v>
      </c>
      <c r="AD26" s="70">
        <f t="array" ref="AD26">(PRODUCT(IF($AW$15:$BE$15=AI26,$AW$17:$BE$17)))</f>
        <v>1.04</v>
      </c>
      <c r="AE26" s="71">
        <f t="shared" si="28"/>
        <v>3867.1153488372111</v>
      </c>
      <c r="AF26" s="71">
        <f t="shared" si="24"/>
        <v>13981.14857142857</v>
      </c>
      <c r="AG26" s="71">
        <f t="shared" si="29"/>
        <v>3107.14857142857</v>
      </c>
      <c r="AH26" s="71">
        <f t="shared" si="25"/>
        <v>-759.96677740864106</v>
      </c>
      <c r="AI26" s="35">
        <v>3</v>
      </c>
      <c r="AP26"/>
    </row>
    <row r="27" spans="1:64" x14ac:dyDescent="0.2">
      <c r="A27" s="30">
        <v>454</v>
      </c>
      <c r="B27" s="123" t="s">
        <v>81</v>
      </c>
      <c r="C27" s="62">
        <v>5.13</v>
      </c>
      <c r="D27" s="28">
        <f t="shared" si="21"/>
        <v>430.91999999999996</v>
      </c>
      <c r="E27" s="28">
        <v>26200</v>
      </c>
      <c r="F27" s="28">
        <f t="shared" si="30"/>
        <v>11424.418604651164</v>
      </c>
      <c r="G27" s="64">
        <f t="shared" si="26"/>
        <v>11881.395348837212</v>
      </c>
      <c r="H27" s="27" t="s">
        <v>19</v>
      </c>
      <c r="I27" s="28">
        <f t="shared" si="27"/>
        <v>12312.315348837212</v>
      </c>
      <c r="J27" s="28" t="s">
        <v>5</v>
      </c>
      <c r="K27" s="28">
        <v>12436</v>
      </c>
      <c r="L27" s="29" t="str">
        <f t="shared" si="23"/>
        <v>Project Prepay 12</v>
      </c>
      <c r="M27" s="43">
        <f t="shared" si="10"/>
        <v>0</v>
      </c>
      <c r="N27" s="43">
        <f t="shared" si="15"/>
        <v>0</v>
      </c>
      <c r="O27" s="43">
        <f t="shared" si="17"/>
        <v>0</v>
      </c>
      <c r="P27" s="43">
        <f t="shared" si="16"/>
        <v>0</v>
      </c>
      <c r="Q27" s="43">
        <f t="shared" si="16"/>
        <v>0</v>
      </c>
      <c r="R27" s="43">
        <f t="shared" si="19"/>
        <v>0</v>
      </c>
      <c r="S27" s="43">
        <f t="shared" si="31"/>
        <v>0</v>
      </c>
      <c r="T27" s="43">
        <f t="shared" si="31"/>
        <v>0</v>
      </c>
      <c r="U27" s="43">
        <f t="shared" si="31"/>
        <v>1</v>
      </c>
      <c r="V27" s="43">
        <f t="shared" si="31"/>
        <v>0</v>
      </c>
      <c r="W27" s="43">
        <f t="shared" si="31"/>
        <v>0</v>
      </c>
      <c r="X27" s="43">
        <f t="shared" si="31"/>
        <v>0</v>
      </c>
      <c r="Y27" s="43">
        <f t="shared" si="31"/>
        <v>0</v>
      </c>
      <c r="Z27" s="43">
        <f t="shared" si="31"/>
        <v>0</v>
      </c>
      <c r="AA27" s="43">
        <f t="shared" si="31"/>
        <v>0</v>
      </c>
      <c r="AB27" s="30" t="e">
        <f t="shared" si="31"/>
        <v>#N/A</v>
      </c>
      <c r="AC27" s="73">
        <f t="shared" si="20"/>
        <v>12312.315348837212</v>
      </c>
      <c r="AD27" s="70">
        <f t="array" ref="AD27">(PRODUCT(IF($AW$15:$BE$15=AI27,$AW$17:$BE$17)))</f>
        <v>1.04</v>
      </c>
      <c r="AE27" s="71">
        <f t="shared" si="28"/>
        <v>-123.68465116278821</v>
      </c>
      <c r="AF27" s="71">
        <f t="shared" si="24"/>
        <v>11659.491428571428</v>
      </c>
      <c r="AG27" s="71">
        <f t="shared" si="29"/>
        <v>-776.5085714285724</v>
      </c>
      <c r="AH27" s="71">
        <f t="shared" si="25"/>
        <v>-652.82392026578418</v>
      </c>
      <c r="AI27" s="35">
        <v>3</v>
      </c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</row>
    <row r="28" spans="1:64" x14ac:dyDescent="0.2">
      <c r="A28" s="30">
        <v>453</v>
      </c>
      <c r="B28" s="123" t="s">
        <v>82</v>
      </c>
      <c r="C28" s="62">
        <v>9.69</v>
      </c>
      <c r="D28" s="28">
        <f t="shared" si="21"/>
        <v>813.96</v>
      </c>
      <c r="E28" s="28">
        <v>29746</v>
      </c>
      <c r="F28" s="28">
        <f t="shared" si="30"/>
        <v>12428.690807799443</v>
      </c>
      <c r="G28" s="64">
        <f t="shared" si="26"/>
        <v>11682.969359331475</v>
      </c>
      <c r="H28" s="27" t="s">
        <v>19</v>
      </c>
      <c r="I28" s="28">
        <f t="shared" si="27"/>
        <v>12496.929359331476</v>
      </c>
      <c r="J28" s="28" t="s">
        <v>23</v>
      </c>
      <c r="K28" s="28">
        <v>7901.6</v>
      </c>
      <c r="L28" s="29" t="str">
        <f t="shared" si="23"/>
        <v>Project Prepay 13</v>
      </c>
      <c r="M28" s="43">
        <f t="shared" si="10"/>
        <v>0</v>
      </c>
      <c r="N28" s="43">
        <f t="shared" si="15"/>
        <v>0</v>
      </c>
      <c r="O28" s="43">
        <f t="shared" si="17"/>
        <v>0</v>
      </c>
      <c r="P28" s="43">
        <f t="shared" si="16"/>
        <v>0</v>
      </c>
      <c r="Q28" s="43">
        <f t="shared" si="16"/>
        <v>0</v>
      </c>
      <c r="R28" s="43">
        <f t="shared" si="19"/>
        <v>0</v>
      </c>
      <c r="S28" s="43">
        <f t="shared" si="31"/>
        <v>1</v>
      </c>
      <c r="T28" s="43">
        <f t="shared" si="31"/>
        <v>0</v>
      </c>
      <c r="U28" s="43">
        <f t="shared" si="31"/>
        <v>0</v>
      </c>
      <c r="V28" s="43">
        <f t="shared" si="31"/>
        <v>0</v>
      </c>
      <c r="W28" s="43">
        <f t="shared" si="31"/>
        <v>0</v>
      </c>
      <c r="X28" s="43">
        <f t="shared" si="31"/>
        <v>0</v>
      </c>
      <c r="Y28" s="43">
        <f t="shared" si="31"/>
        <v>0</v>
      </c>
      <c r="Z28" s="43">
        <f t="shared" si="31"/>
        <v>0</v>
      </c>
      <c r="AA28" s="43">
        <f t="shared" si="31"/>
        <v>0</v>
      </c>
      <c r="AB28" s="30" t="e">
        <f t="shared" si="31"/>
        <v>#N/A</v>
      </c>
      <c r="AC28" s="73">
        <f t="shared" si="20"/>
        <v>12496.929359331476</v>
      </c>
      <c r="AD28" s="70">
        <f t="array" ref="AD28">(PRODUCT(IF($AW$15:$BE$15=AI28,$AW$17:$BE$17)))</f>
        <v>0.94</v>
      </c>
      <c r="AE28" s="71">
        <f t="shared" si="28"/>
        <v>4595.3293593314756</v>
      </c>
      <c r="AF28" s="71">
        <f t="shared" si="24"/>
        <v>13562.245714285717</v>
      </c>
      <c r="AG28" s="71">
        <f t="shared" si="29"/>
        <v>5660.6457142857162</v>
      </c>
      <c r="AH28" s="71">
        <f t="shared" si="25"/>
        <v>1065.3163549542405</v>
      </c>
      <c r="AI28" s="35">
        <v>1</v>
      </c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</row>
    <row r="29" spans="1:64" x14ac:dyDescent="0.2">
      <c r="A29" s="30">
        <v>452</v>
      </c>
      <c r="B29" s="123" t="s">
        <v>83</v>
      </c>
      <c r="C29" s="62">
        <v>4.5599999999999996</v>
      </c>
      <c r="D29" s="28">
        <f t="shared" si="21"/>
        <v>383.03999999999996</v>
      </c>
      <c r="E29" s="28">
        <v>18989</v>
      </c>
      <c r="F29" s="28">
        <f t="shared" si="30"/>
        <v>7934.1225626740952</v>
      </c>
      <c r="G29" s="64">
        <f t="shared" si="26"/>
        <v>7458.0752089136495</v>
      </c>
      <c r="H29" s="27" t="s">
        <v>19</v>
      </c>
      <c r="I29" s="28">
        <f t="shared" si="27"/>
        <v>7841.1152089136494</v>
      </c>
      <c r="J29" s="28" t="s">
        <v>3</v>
      </c>
      <c r="K29" s="28">
        <v>8856</v>
      </c>
      <c r="L29" s="29" t="str">
        <f t="shared" si="23"/>
        <v>Project Prepay 14</v>
      </c>
      <c r="M29" s="43">
        <f t="shared" si="10"/>
        <v>0</v>
      </c>
      <c r="N29" s="43">
        <f t="shared" si="15"/>
        <v>0</v>
      </c>
      <c r="O29" s="43">
        <f t="shared" si="17"/>
        <v>0</v>
      </c>
      <c r="P29" s="43">
        <f t="shared" si="16"/>
        <v>0</v>
      </c>
      <c r="Q29" s="43">
        <f t="shared" si="16"/>
        <v>0</v>
      </c>
      <c r="R29" s="43">
        <f t="shared" si="19"/>
        <v>0</v>
      </c>
      <c r="S29" s="43">
        <f t="shared" si="31"/>
        <v>1</v>
      </c>
      <c r="T29" s="43">
        <f t="shared" si="31"/>
        <v>0</v>
      </c>
      <c r="U29" s="43">
        <f t="shared" si="31"/>
        <v>0</v>
      </c>
      <c r="V29" s="43">
        <f t="shared" si="31"/>
        <v>0</v>
      </c>
      <c r="W29" s="43">
        <f t="shared" si="31"/>
        <v>0</v>
      </c>
      <c r="X29" s="43">
        <f t="shared" si="31"/>
        <v>0</v>
      </c>
      <c r="Y29" s="43">
        <f t="shared" si="31"/>
        <v>0</v>
      </c>
      <c r="Z29" s="43">
        <f t="shared" si="31"/>
        <v>0</v>
      </c>
      <c r="AA29" s="43">
        <f t="shared" si="31"/>
        <v>0</v>
      </c>
      <c r="AB29" s="30" t="e">
        <f t="shared" si="31"/>
        <v>#N/A</v>
      </c>
      <c r="AC29" s="73">
        <f t="shared" si="20"/>
        <v>7841.1152089136494</v>
      </c>
      <c r="AD29" s="70">
        <f t="array" ref="AD29">(PRODUCT(IF($AW$15:$BE$15=AI29,$AW$17:$BE$17)))</f>
        <v>0.94</v>
      </c>
      <c r="AE29" s="71">
        <f t="shared" si="28"/>
        <v>-1014.8847910863506</v>
      </c>
      <c r="AF29" s="71">
        <f t="shared" si="24"/>
        <v>8521.1828571428559</v>
      </c>
      <c r="AG29" s="71">
        <f t="shared" si="29"/>
        <v>-334.81714285714406</v>
      </c>
      <c r="AH29" s="71">
        <f t="shared" si="25"/>
        <v>680.0676482292065</v>
      </c>
      <c r="AI29" s="35">
        <v>1</v>
      </c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</row>
    <row r="30" spans="1:64" x14ac:dyDescent="0.2">
      <c r="A30" s="30">
        <v>451</v>
      </c>
      <c r="B30" s="123" t="s">
        <v>84</v>
      </c>
      <c r="C30" s="62">
        <v>5.3550000000000004</v>
      </c>
      <c r="D30" s="28">
        <f t="shared" si="21"/>
        <v>449.82</v>
      </c>
      <c r="E30" s="28">
        <v>21420</v>
      </c>
      <c r="F30" s="28">
        <f t="shared" si="30"/>
        <v>8949.860724233984</v>
      </c>
      <c r="G30" s="64">
        <f t="shared" si="26"/>
        <v>8412.8690807799449</v>
      </c>
      <c r="H30" s="27" t="s">
        <v>19</v>
      </c>
      <c r="I30" s="28">
        <f t="shared" si="27"/>
        <v>8862.6890807799446</v>
      </c>
      <c r="J30" s="28" t="s">
        <v>6</v>
      </c>
      <c r="K30" s="28">
        <v>9838</v>
      </c>
      <c r="L30" s="29" t="str">
        <f t="shared" si="23"/>
        <v>Project Prepay 15</v>
      </c>
      <c r="M30" s="43">
        <f t="shared" si="10"/>
        <v>0</v>
      </c>
      <c r="N30" s="43">
        <f t="shared" si="15"/>
        <v>0</v>
      </c>
      <c r="O30" s="43">
        <f t="shared" si="17"/>
        <v>0</v>
      </c>
      <c r="P30" s="43">
        <f t="shared" si="16"/>
        <v>0</v>
      </c>
      <c r="Q30" s="43">
        <f t="shared" si="16"/>
        <v>0</v>
      </c>
      <c r="R30" s="43">
        <f t="shared" si="19"/>
        <v>0</v>
      </c>
      <c r="S30" s="43">
        <f t="shared" si="31"/>
        <v>1</v>
      </c>
      <c r="T30" s="43">
        <f t="shared" si="31"/>
        <v>0</v>
      </c>
      <c r="U30" s="43">
        <f t="shared" si="31"/>
        <v>0</v>
      </c>
      <c r="V30" s="43">
        <f t="shared" si="31"/>
        <v>0</v>
      </c>
      <c r="W30" s="43">
        <f t="shared" si="31"/>
        <v>0</v>
      </c>
      <c r="X30" s="43">
        <f t="shared" si="31"/>
        <v>0</v>
      </c>
      <c r="Y30" s="43">
        <f t="shared" si="31"/>
        <v>0</v>
      </c>
      <c r="Z30" s="43">
        <f t="shared" si="31"/>
        <v>0</v>
      </c>
      <c r="AA30" s="43">
        <f t="shared" si="31"/>
        <v>0</v>
      </c>
      <c r="AB30" s="30" t="e">
        <f t="shared" si="31"/>
        <v>#N/A</v>
      </c>
      <c r="AC30" s="73">
        <f t="shared" si="20"/>
        <v>8862.6890807799446</v>
      </c>
      <c r="AD30" s="70">
        <f t="array" ref="AD30">(PRODUCT(IF($AW$15:$BE$15=AI30,$AW$17:$BE$17)))</f>
        <v>0.94</v>
      </c>
      <c r="AE30" s="71">
        <f t="shared" si="28"/>
        <v>-975.31091922005544</v>
      </c>
      <c r="AF30" s="71">
        <f t="shared" si="24"/>
        <v>9629.82</v>
      </c>
      <c r="AG30" s="71">
        <f t="shared" si="29"/>
        <v>-208.18000000000029</v>
      </c>
      <c r="AH30" s="71">
        <f t="shared" si="25"/>
        <v>767.13091922005515</v>
      </c>
      <c r="AI30" s="35">
        <v>1</v>
      </c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</row>
    <row r="31" spans="1:64" x14ac:dyDescent="0.2">
      <c r="A31" s="30">
        <v>450</v>
      </c>
      <c r="B31" s="123" t="s">
        <v>85</v>
      </c>
      <c r="C31" s="62">
        <v>8.27</v>
      </c>
      <c r="D31" s="28">
        <f t="shared" si="21"/>
        <v>694.68000000000006</v>
      </c>
      <c r="E31" s="28">
        <v>23000</v>
      </c>
      <c r="F31" s="28">
        <f t="shared" si="30"/>
        <v>9413.3697135061393</v>
      </c>
      <c r="G31" s="64">
        <f t="shared" si="26"/>
        <v>8377.8990450204637</v>
      </c>
      <c r="H31" s="27" t="s">
        <v>19</v>
      </c>
      <c r="I31" s="28">
        <f t="shared" si="27"/>
        <v>9072.579045020464</v>
      </c>
      <c r="J31" s="28" t="s">
        <v>16</v>
      </c>
      <c r="K31" s="28">
        <v>7488.48</v>
      </c>
      <c r="L31" s="29" t="str">
        <f t="shared" si="23"/>
        <v>Project Prepay 16</v>
      </c>
      <c r="M31" s="43">
        <f t="shared" si="10"/>
        <v>0</v>
      </c>
      <c r="N31" s="43">
        <f t="shared" si="15"/>
        <v>0</v>
      </c>
      <c r="O31" s="43">
        <f t="shared" si="17"/>
        <v>0</v>
      </c>
      <c r="P31" s="43">
        <f t="shared" si="16"/>
        <v>0</v>
      </c>
      <c r="Q31" s="43">
        <f t="shared" si="16"/>
        <v>0</v>
      </c>
      <c r="R31" s="43">
        <f t="shared" si="19"/>
        <v>0</v>
      </c>
      <c r="S31" s="43">
        <f t="shared" si="31"/>
        <v>0</v>
      </c>
      <c r="T31" s="43">
        <f t="shared" si="31"/>
        <v>0</v>
      </c>
      <c r="U31" s="43">
        <f t="shared" si="31"/>
        <v>0</v>
      </c>
      <c r="V31" s="43">
        <f t="shared" si="31"/>
        <v>0</v>
      </c>
      <c r="W31" s="43">
        <f t="shared" si="31"/>
        <v>0</v>
      </c>
      <c r="X31" s="43">
        <f t="shared" si="31"/>
        <v>0</v>
      </c>
      <c r="Y31" s="43">
        <f t="shared" si="31"/>
        <v>0</v>
      </c>
      <c r="Z31" s="43">
        <f t="shared" si="31"/>
        <v>1</v>
      </c>
      <c r="AA31" s="43">
        <f t="shared" si="31"/>
        <v>0</v>
      </c>
      <c r="AB31" s="30" t="e">
        <f t="shared" si="31"/>
        <v>#N/A</v>
      </c>
      <c r="AC31" s="73">
        <f t="shared" si="20"/>
        <v>9072.579045020464</v>
      </c>
      <c r="AD31" s="70">
        <f t="array" ref="AD31">(PRODUCT(IF($AW$15:$BE$15=AI31,$AW$17:$BE$17)))</f>
        <v>0.89</v>
      </c>
      <c r="AE31" s="71">
        <f t="shared" si="28"/>
        <v>1584.0990450204645</v>
      </c>
      <c r="AF31" s="71">
        <f t="shared" si="24"/>
        <v>10551.822857142859</v>
      </c>
      <c r="AG31" s="71">
        <f t="shared" si="29"/>
        <v>3063.3428571428594</v>
      </c>
      <c r="AH31" s="71">
        <f t="shared" si="25"/>
        <v>1479.243812122395</v>
      </c>
      <c r="AI31" s="35">
        <v>8</v>
      </c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</row>
    <row r="32" spans="1:64" x14ac:dyDescent="0.2">
      <c r="A32" s="30">
        <v>449</v>
      </c>
      <c r="B32" s="123" t="s">
        <v>86</v>
      </c>
      <c r="C32" s="62">
        <v>5.49</v>
      </c>
      <c r="D32" s="28">
        <f t="shared" si="21"/>
        <v>461.15999999999997</v>
      </c>
      <c r="E32" s="28">
        <v>17873</v>
      </c>
      <c r="F32" s="28">
        <f t="shared" si="30"/>
        <v>7793.459302325582</v>
      </c>
      <c r="G32" s="64">
        <f t="shared" si="26"/>
        <v>8105.1976744186059</v>
      </c>
      <c r="H32" s="27" t="s">
        <v>19</v>
      </c>
      <c r="I32" s="28">
        <f t="shared" si="27"/>
        <v>8566.3576744186066</v>
      </c>
      <c r="J32" s="28" t="s">
        <v>3</v>
      </c>
      <c r="K32" s="28">
        <v>45275</v>
      </c>
      <c r="L32" s="29" t="str">
        <f t="shared" si="23"/>
        <v>Project Prepay 17</v>
      </c>
      <c r="M32" s="43">
        <f t="shared" si="10"/>
        <v>0</v>
      </c>
      <c r="N32" s="43">
        <f t="shared" si="15"/>
        <v>0</v>
      </c>
      <c r="O32" s="43">
        <f t="shared" si="17"/>
        <v>0</v>
      </c>
      <c r="P32" s="43">
        <f t="shared" si="16"/>
        <v>0</v>
      </c>
      <c r="Q32" s="43">
        <f t="shared" si="16"/>
        <v>0</v>
      </c>
      <c r="R32" s="43">
        <f t="shared" si="19"/>
        <v>0</v>
      </c>
      <c r="S32" s="43">
        <f t="shared" si="31"/>
        <v>0</v>
      </c>
      <c r="T32" s="43">
        <f t="shared" si="31"/>
        <v>0</v>
      </c>
      <c r="U32" s="43">
        <f t="shared" si="31"/>
        <v>1</v>
      </c>
      <c r="V32" s="43">
        <f t="shared" si="31"/>
        <v>0</v>
      </c>
      <c r="W32" s="43">
        <f t="shared" si="31"/>
        <v>0</v>
      </c>
      <c r="X32" s="43">
        <f t="shared" si="31"/>
        <v>0</v>
      </c>
      <c r="Y32" s="43">
        <f t="shared" si="31"/>
        <v>0</v>
      </c>
      <c r="Z32" s="43">
        <f t="shared" si="31"/>
        <v>0</v>
      </c>
      <c r="AA32" s="43">
        <f t="shared" si="31"/>
        <v>0</v>
      </c>
      <c r="AB32" s="30" t="e">
        <f t="shared" si="31"/>
        <v>#N/A</v>
      </c>
      <c r="AC32" s="73">
        <f t="shared" si="20"/>
        <v>8566.3576744186066</v>
      </c>
      <c r="AD32" s="70">
        <f t="array" ref="AD32">(PRODUCT(IF($AW$15:$BE$15=AI32,$AW$17:$BE$17)))</f>
        <v>1.04</v>
      </c>
      <c r="AE32" s="71">
        <f t="shared" si="28"/>
        <v>-36708.642325581393</v>
      </c>
      <c r="AF32" s="71">
        <f t="shared" si="24"/>
        <v>8121.017142857143</v>
      </c>
      <c r="AG32" s="71">
        <f t="shared" si="29"/>
        <v>-37153.982857142859</v>
      </c>
      <c r="AH32" s="71">
        <f t="shared" si="25"/>
        <v>-445.34053156146365</v>
      </c>
      <c r="AI32" s="35">
        <v>3</v>
      </c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</row>
    <row r="33" spans="1:64" x14ac:dyDescent="0.2">
      <c r="A33" s="30">
        <v>448</v>
      </c>
      <c r="B33" s="123" t="s">
        <v>87</v>
      </c>
      <c r="C33" s="62">
        <v>25.41</v>
      </c>
      <c r="D33" s="28">
        <f t="shared" si="21"/>
        <v>2134.44</v>
      </c>
      <c r="E33" s="28">
        <v>118360</v>
      </c>
      <c r="F33" s="28">
        <f t="shared" si="30"/>
        <v>48641.095890410965</v>
      </c>
      <c r="G33" s="64">
        <f t="shared" si="26"/>
        <v>43776.98630136987</v>
      </c>
      <c r="H33" s="27" t="s">
        <v>19</v>
      </c>
      <c r="I33" s="28">
        <f t="shared" si="27"/>
        <v>45911.426301369873</v>
      </c>
      <c r="J33" s="28" t="s">
        <v>25</v>
      </c>
      <c r="K33" s="28">
        <v>16784</v>
      </c>
      <c r="L33" s="29" t="str">
        <f t="shared" si="23"/>
        <v>Project Prepay 18</v>
      </c>
      <c r="M33" s="43">
        <f t="shared" si="10"/>
        <v>0</v>
      </c>
      <c r="N33" s="43">
        <f t="shared" si="15"/>
        <v>0</v>
      </c>
      <c r="O33" s="43">
        <f t="shared" si="17"/>
        <v>0</v>
      </c>
      <c r="P33" s="43">
        <f t="shared" ref="P33:Q52" si="32">($AI33=P$1)*1</f>
        <v>0</v>
      </c>
      <c r="Q33" s="43">
        <f t="shared" si="32"/>
        <v>0</v>
      </c>
      <c r="R33" s="43">
        <f t="shared" si="19"/>
        <v>0</v>
      </c>
      <c r="S33" s="43">
        <f t="shared" si="31"/>
        <v>0</v>
      </c>
      <c r="T33" s="43">
        <f t="shared" si="31"/>
        <v>1</v>
      </c>
      <c r="U33" s="43">
        <f t="shared" si="31"/>
        <v>0</v>
      </c>
      <c r="V33" s="43">
        <f t="shared" si="31"/>
        <v>0</v>
      </c>
      <c r="W33" s="43">
        <f t="shared" si="31"/>
        <v>0</v>
      </c>
      <c r="X33" s="43">
        <f t="shared" si="31"/>
        <v>0</v>
      </c>
      <c r="Y33" s="43">
        <f t="shared" si="31"/>
        <v>0</v>
      </c>
      <c r="Z33" s="43">
        <f t="shared" si="31"/>
        <v>0</v>
      </c>
      <c r="AA33" s="43">
        <f t="shared" si="31"/>
        <v>0</v>
      </c>
      <c r="AB33" s="30" t="e">
        <f t="shared" si="31"/>
        <v>#N/A</v>
      </c>
      <c r="AC33" s="73">
        <f t="shared" si="20"/>
        <v>45911.426301369873</v>
      </c>
      <c r="AD33" s="70">
        <f t="array" ref="AD33">(PRODUCT(IF($AW$15:$BE$15=AI33,$AW$17:$BE$17)))</f>
        <v>0.9</v>
      </c>
      <c r="AE33" s="71">
        <f t="shared" si="28"/>
        <v>29127.426301369873</v>
      </c>
      <c r="AF33" s="71">
        <f t="shared" si="24"/>
        <v>52860.154285714285</v>
      </c>
      <c r="AG33" s="71">
        <f t="shared" si="29"/>
        <v>36076.154285714285</v>
      </c>
      <c r="AH33" s="71">
        <f t="shared" si="25"/>
        <v>6948.7279843444121</v>
      </c>
      <c r="AI33" s="35">
        <v>2</v>
      </c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</row>
    <row r="34" spans="1:64" x14ac:dyDescent="0.2">
      <c r="A34" s="30">
        <v>446</v>
      </c>
      <c r="B34" s="123" t="s">
        <v>88</v>
      </c>
      <c r="C34" s="62">
        <v>9.6</v>
      </c>
      <c r="D34" s="28">
        <f t="shared" si="21"/>
        <v>806.40000000000009</v>
      </c>
      <c r="E34" s="28">
        <v>43200</v>
      </c>
      <c r="F34" s="28">
        <f t="shared" si="30"/>
        <v>18837.209302325584</v>
      </c>
      <c r="G34" s="64">
        <f t="shared" si="26"/>
        <v>19590.697674418607</v>
      </c>
      <c r="H34" s="27" t="s">
        <v>19</v>
      </c>
      <c r="I34" s="28">
        <f t="shared" si="27"/>
        <v>20397.097674418608</v>
      </c>
      <c r="J34" s="28" t="s">
        <v>4</v>
      </c>
      <c r="K34" s="28">
        <v>49130</v>
      </c>
      <c r="L34" s="29" t="str">
        <f t="shared" si="23"/>
        <v>Project Prepay 19</v>
      </c>
      <c r="M34" s="43">
        <f t="shared" si="10"/>
        <v>0</v>
      </c>
      <c r="N34" s="43">
        <f t="shared" si="15"/>
        <v>0</v>
      </c>
      <c r="O34" s="43">
        <f t="shared" si="17"/>
        <v>0</v>
      </c>
      <c r="P34" s="43">
        <f t="shared" si="32"/>
        <v>0</v>
      </c>
      <c r="Q34" s="43">
        <f t="shared" si="32"/>
        <v>0</v>
      </c>
      <c r="R34" s="43">
        <f t="shared" si="19"/>
        <v>0</v>
      </c>
      <c r="S34" s="43">
        <f t="shared" ref="S34:AB43" si="33">($AI34=S$1)*1</f>
        <v>0</v>
      </c>
      <c r="T34" s="43">
        <f t="shared" si="33"/>
        <v>0</v>
      </c>
      <c r="U34" s="43">
        <f t="shared" si="33"/>
        <v>1</v>
      </c>
      <c r="V34" s="43">
        <f t="shared" si="33"/>
        <v>0</v>
      </c>
      <c r="W34" s="43">
        <f t="shared" si="33"/>
        <v>0</v>
      </c>
      <c r="X34" s="43">
        <f t="shared" si="33"/>
        <v>0</v>
      </c>
      <c r="Y34" s="43">
        <f t="shared" si="33"/>
        <v>0</v>
      </c>
      <c r="Z34" s="43">
        <f t="shared" si="33"/>
        <v>0</v>
      </c>
      <c r="AA34" s="43">
        <f t="shared" si="33"/>
        <v>0</v>
      </c>
      <c r="AB34" s="30" t="e">
        <f t="shared" si="33"/>
        <v>#N/A</v>
      </c>
      <c r="AC34" s="73">
        <f>SUM(M34:AA34)*I34</f>
        <v>20397.097674418608</v>
      </c>
      <c r="AD34" s="70">
        <f t="array" ref="AD34">(PRODUCT(IF($AW$15:$BE$15=AI34,$AW$17:$BE$17)))</f>
        <v>1.04</v>
      </c>
      <c r="AE34" s="71">
        <f t="shared" si="28"/>
        <v>-28732.902325581392</v>
      </c>
      <c r="AF34" s="71">
        <f t="shared" si="24"/>
        <v>19320.685714285715</v>
      </c>
      <c r="AG34" s="71">
        <f t="shared" si="29"/>
        <v>-29809.314285714285</v>
      </c>
      <c r="AH34" s="71">
        <f t="shared" si="25"/>
        <v>-1076.411960132893</v>
      </c>
      <c r="AI34" s="35">
        <v>3</v>
      </c>
    </row>
    <row r="35" spans="1:64" x14ac:dyDescent="0.2">
      <c r="A35" s="30">
        <v>444</v>
      </c>
      <c r="B35" s="123" t="s">
        <v>89</v>
      </c>
      <c r="C35" s="62">
        <v>35.04</v>
      </c>
      <c r="D35" s="28">
        <f t="shared" si="21"/>
        <v>2943.36</v>
      </c>
      <c r="E35" s="28">
        <v>115860</v>
      </c>
      <c r="F35" s="28">
        <f t="shared" si="30"/>
        <v>47418.826739427015</v>
      </c>
      <c r="G35" s="64">
        <f t="shared" si="26"/>
        <v>42202.755798090046</v>
      </c>
      <c r="H35" s="27" t="s">
        <v>19</v>
      </c>
      <c r="I35" s="28">
        <f t="shared" si="27"/>
        <v>45146.115798090046</v>
      </c>
      <c r="J35" s="28" t="s">
        <v>16</v>
      </c>
      <c r="K35" s="28">
        <v>8750</v>
      </c>
      <c r="L35" s="29" t="str">
        <f t="shared" si="23"/>
        <v>Project Prepay 20</v>
      </c>
      <c r="M35" s="43">
        <f t="shared" si="10"/>
        <v>0</v>
      </c>
      <c r="N35" s="43">
        <f t="shared" si="15"/>
        <v>0</v>
      </c>
      <c r="O35" s="43">
        <f t="shared" si="17"/>
        <v>0</v>
      </c>
      <c r="P35" s="43">
        <f t="shared" si="32"/>
        <v>0</v>
      </c>
      <c r="Q35" s="43">
        <f t="shared" si="32"/>
        <v>0</v>
      </c>
      <c r="R35" s="43">
        <f t="shared" si="19"/>
        <v>0</v>
      </c>
      <c r="S35" s="43">
        <f t="shared" si="33"/>
        <v>0</v>
      </c>
      <c r="T35" s="43">
        <f t="shared" si="33"/>
        <v>0</v>
      </c>
      <c r="U35" s="43">
        <f t="shared" si="33"/>
        <v>0</v>
      </c>
      <c r="V35" s="43">
        <f t="shared" si="33"/>
        <v>0</v>
      </c>
      <c r="W35" s="43">
        <f t="shared" si="33"/>
        <v>0</v>
      </c>
      <c r="X35" s="43">
        <f t="shared" si="33"/>
        <v>0</v>
      </c>
      <c r="Y35" s="43">
        <f t="shared" si="33"/>
        <v>0</v>
      </c>
      <c r="Z35" s="43">
        <f t="shared" si="33"/>
        <v>1</v>
      </c>
      <c r="AA35" s="43">
        <f t="shared" si="33"/>
        <v>0</v>
      </c>
      <c r="AB35" s="30" t="e">
        <f t="shared" si="33"/>
        <v>#N/A</v>
      </c>
      <c r="AC35" s="73">
        <f t="shared" si="20"/>
        <v>45146.115798090046</v>
      </c>
      <c r="AD35" s="70">
        <f t="array" ref="AD35">(PRODUCT(IF($AW$15:$BE$15=AI35,$AW$17:$BE$17)))</f>
        <v>0.89</v>
      </c>
      <c r="AE35" s="71">
        <f t="shared" si="28"/>
        <v>36396.115798090046</v>
      </c>
      <c r="AF35" s="71">
        <f t="shared" si="24"/>
        <v>52597.645714285718</v>
      </c>
      <c r="AG35" s="71">
        <f t="shared" si="29"/>
        <v>43847.645714285718</v>
      </c>
      <c r="AH35" s="71">
        <f t="shared" si="25"/>
        <v>7451.5299161956718</v>
      </c>
      <c r="AI35" s="35">
        <v>8</v>
      </c>
    </row>
    <row r="36" spans="1:64" x14ac:dyDescent="0.2">
      <c r="A36" s="30">
        <v>443</v>
      </c>
      <c r="B36" s="123" t="s">
        <v>90</v>
      </c>
      <c r="C36" s="62">
        <v>6.6</v>
      </c>
      <c r="D36" s="28">
        <f t="shared" si="21"/>
        <v>554.4</v>
      </c>
      <c r="E36" s="28">
        <v>22500</v>
      </c>
      <c r="F36" s="28">
        <f t="shared" si="30"/>
        <v>9246.5753424657541</v>
      </c>
      <c r="G36" s="64">
        <f t="shared" si="26"/>
        <v>8321.9178082191793</v>
      </c>
      <c r="H36" s="27" t="s">
        <v>19</v>
      </c>
      <c r="I36" s="28">
        <f t="shared" si="27"/>
        <v>8876.3178082191789</v>
      </c>
      <c r="J36" s="28" t="s">
        <v>12</v>
      </c>
      <c r="K36" s="28">
        <v>7219</v>
      </c>
      <c r="L36" s="29" t="str">
        <f t="shared" si="23"/>
        <v>Project Prepay 21</v>
      </c>
      <c r="M36" s="43">
        <f t="shared" si="10"/>
        <v>0</v>
      </c>
      <c r="N36" s="43">
        <f t="shared" si="15"/>
        <v>0</v>
      </c>
      <c r="O36" s="43">
        <f t="shared" si="17"/>
        <v>0</v>
      </c>
      <c r="P36" s="43">
        <f t="shared" si="32"/>
        <v>0</v>
      </c>
      <c r="Q36" s="43">
        <f t="shared" si="32"/>
        <v>0</v>
      </c>
      <c r="R36" s="43">
        <f t="shared" si="19"/>
        <v>0</v>
      </c>
      <c r="S36" s="43">
        <f t="shared" si="33"/>
        <v>0</v>
      </c>
      <c r="T36" s="43">
        <f t="shared" si="33"/>
        <v>1</v>
      </c>
      <c r="U36" s="43">
        <f t="shared" si="33"/>
        <v>0</v>
      </c>
      <c r="V36" s="43">
        <f t="shared" si="33"/>
        <v>0</v>
      </c>
      <c r="W36" s="43">
        <f t="shared" si="33"/>
        <v>0</v>
      </c>
      <c r="X36" s="43">
        <f t="shared" si="33"/>
        <v>0</v>
      </c>
      <c r="Y36" s="43">
        <f t="shared" si="33"/>
        <v>0</v>
      </c>
      <c r="Z36" s="43">
        <f t="shared" si="33"/>
        <v>0</v>
      </c>
      <c r="AA36" s="43">
        <f t="shared" si="33"/>
        <v>0</v>
      </c>
      <c r="AB36" s="30" t="e">
        <f t="shared" si="33"/>
        <v>#N/A</v>
      </c>
      <c r="AC36" s="73">
        <f t="shared" si="20"/>
        <v>8876.3178082191789</v>
      </c>
      <c r="AD36" s="70">
        <f t="array" ref="AD36">(PRODUCT(IF($AW$15:$BE$15=AI36,$AW$17:$BE$17)))</f>
        <v>0.9</v>
      </c>
      <c r="AE36" s="71">
        <f t="shared" si="28"/>
        <v>1657.3178082191789</v>
      </c>
      <c r="AF36" s="71">
        <f t="shared" si="24"/>
        <v>10197.257142857143</v>
      </c>
      <c r="AG36" s="71">
        <f t="shared" si="29"/>
        <v>2978.2571428571428</v>
      </c>
      <c r="AH36" s="71">
        <f t="shared" si="25"/>
        <v>1320.9393346379638</v>
      </c>
      <c r="AI36" s="35">
        <v>2</v>
      </c>
    </row>
    <row r="37" spans="1:64" x14ac:dyDescent="0.2">
      <c r="A37" s="30">
        <v>442</v>
      </c>
      <c r="B37" s="123" t="s">
        <v>91</v>
      </c>
      <c r="C37" s="62">
        <v>5.9850000000000003</v>
      </c>
      <c r="D37" s="28">
        <f t="shared" si="21"/>
        <v>502.74</v>
      </c>
      <c r="E37" s="28">
        <v>17100</v>
      </c>
      <c r="F37" s="28">
        <f t="shared" si="30"/>
        <v>7144.8467966573817</v>
      </c>
      <c r="G37" s="64">
        <f t="shared" si="26"/>
        <v>6716.1559888579386</v>
      </c>
      <c r="H37" s="27" t="s">
        <v>19</v>
      </c>
      <c r="I37" s="28">
        <f t="shared" si="27"/>
        <v>7218.8959888579384</v>
      </c>
      <c r="J37" s="28" t="s">
        <v>6</v>
      </c>
      <c r="K37" s="28">
        <v>19359</v>
      </c>
      <c r="L37" s="29" t="str">
        <f t="shared" si="23"/>
        <v>Project Prepay 22</v>
      </c>
      <c r="M37" s="43">
        <f t="shared" si="10"/>
        <v>0</v>
      </c>
      <c r="N37" s="43">
        <f t="shared" si="15"/>
        <v>0</v>
      </c>
      <c r="O37" s="43">
        <f t="shared" si="17"/>
        <v>0</v>
      </c>
      <c r="P37" s="43">
        <f t="shared" si="32"/>
        <v>0</v>
      </c>
      <c r="Q37" s="43">
        <f t="shared" si="32"/>
        <v>0</v>
      </c>
      <c r="R37" s="43">
        <f t="shared" si="19"/>
        <v>0</v>
      </c>
      <c r="S37" s="43">
        <f t="shared" si="33"/>
        <v>1</v>
      </c>
      <c r="T37" s="43">
        <f t="shared" si="33"/>
        <v>0</v>
      </c>
      <c r="U37" s="43">
        <f t="shared" si="33"/>
        <v>0</v>
      </c>
      <c r="V37" s="43">
        <f t="shared" si="33"/>
        <v>0</v>
      </c>
      <c r="W37" s="43">
        <f t="shared" si="33"/>
        <v>0</v>
      </c>
      <c r="X37" s="43">
        <f t="shared" si="33"/>
        <v>0</v>
      </c>
      <c r="Y37" s="43">
        <f t="shared" si="33"/>
        <v>0</v>
      </c>
      <c r="Z37" s="43">
        <f t="shared" si="33"/>
        <v>0</v>
      </c>
      <c r="AA37" s="43">
        <f t="shared" si="33"/>
        <v>0</v>
      </c>
      <c r="AB37" s="30" t="e">
        <f t="shared" si="33"/>
        <v>#N/A</v>
      </c>
      <c r="AC37" s="73">
        <f t="shared" si="20"/>
        <v>7218.8959888579384</v>
      </c>
      <c r="AD37" s="70">
        <f t="array" ref="AD37">(PRODUCT(IF($AW$15:$BE$15=AI37,$AW$17:$BE$17)))</f>
        <v>0.94</v>
      </c>
      <c r="AE37" s="71">
        <f t="shared" si="28"/>
        <v>-12140.104011142063</v>
      </c>
      <c r="AF37" s="71">
        <f t="shared" si="24"/>
        <v>7831.3114285714291</v>
      </c>
      <c r="AG37" s="71">
        <f t="shared" si="29"/>
        <v>-11527.688571428571</v>
      </c>
      <c r="AH37" s="71">
        <f t="shared" si="25"/>
        <v>612.41543971349074</v>
      </c>
      <c r="AI37" s="35">
        <v>1</v>
      </c>
    </row>
    <row r="38" spans="1:64" x14ac:dyDescent="0.2">
      <c r="A38" s="30">
        <v>441</v>
      </c>
      <c r="B38" s="123" t="s">
        <v>92</v>
      </c>
      <c r="C38" s="62">
        <v>16.559999999999999</v>
      </c>
      <c r="D38" s="28">
        <f t="shared" si="21"/>
        <v>1391.04</v>
      </c>
      <c r="E38" s="28">
        <v>45747</v>
      </c>
      <c r="F38" s="28">
        <f t="shared" si="30"/>
        <v>18800.136986301368</v>
      </c>
      <c r="G38" s="64">
        <f t="shared" si="26"/>
        <v>16920.123287671231</v>
      </c>
      <c r="H38" s="27" t="s">
        <v>19</v>
      </c>
      <c r="I38" s="28">
        <f t="shared" si="27"/>
        <v>18311.163287671232</v>
      </c>
      <c r="J38" s="28" t="s">
        <v>6</v>
      </c>
      <c r="K38" s="28">
        <v>7361</v>
      </c>
      <c r="L38" s="29" t="str">
        <f t="shared" si="23"/>
        <v>Project Prepay 23</v>
      </c>
      <c r="M38" s="43">
        <f t="shared" si="10"/>
        <v>0</v>
      </c>
      <c r="N38" s="43">
        <f t="shared" si="15"/>
        <v>0</v>
      </c>
      <c r="O38" s="43">
        <f t="shared" si="17"/>
        <v>0</v>
      </c>
      <c r="P38" s="43">
        <f t="shared" si="32"/>
        <v>0</v>
      </c>
      <c r="Q38" s="43">
        <f t="shared" si="32"/>
        <v>0</v>
      </c>
      <c r="R38" s="43">
        <f t="shared" si="19"/>
        <v>0</v>
      </c>
      <c r="S38" s="43">
        <f t="shared" si="33"/>
        <v>0</v>
      </c>
      <c r="T38" s="43">
        <f t="shared" si="33"/>
        <v>1</v>
      </c>
      <c r="U38" s="43">
        <f t="shared" si="33"/>
        <v>0</v>
      </c>
      <c r="V38" s="43">
        <f t="shared" si="33"/>
        <v>0</v>
      </c>
      <c r="W38" s="43">
        <f t="shared" si="33"/>
        <v>0</v>
      </c>
      <c r="X38" s="43">
        <f t="shared" si="33"/>
        <v>0</v>
      </c>
      <c r="Y38" s="43">
        <f t="shared" si="33"/>
        <v>0</v>
      </c>
      <c r="Z38" s="43">
        <f t="shared" si="33"/>
        <v>0</v>
      </c>
      <c r="AA38" s="43">
        <f t="shared" si="33"/>
        <v>0</v>
      </c>
      <c r="AB38" s="30" t="e">
        <f t="shared" si="33"/>
        <v>#N/A</v>
      </c>
      <c r="AC38" s="73">
        <f t="shared" si="20"/>
        <v>18311.163287671232</v>
      </c>
      <c r="AD38" s="70">
        <f t="array" ref="AD38">(PRODUCT(IF($AW$15:$BE$15=AI38,$AW$17:$BE$17)))</f>
        <v>0.9</v>
      </c>
      <c r="AE38" s="71">
        <f t="shared" si="28"/>
        <v>10950.163287671232</v>
      </c>
      <c r="AF38" s="71">
        <f t="shared" si="24"/>
        <v>20996.897142857142</v>
      </c>
      <c r="AG38" s="71">
        <f t="shared" si="29"/>
        <v>13635.897142857142</v>
      </c>
      <c r="AH38" s="71">
        <f t="shared" si="25"/>
        <v>2685.7338551859102</v>
      </c>
      <c r="AI38" s="35">
        <v>2</v>
      </c>
    </row>
    <row r="39" spans="1:64" x14ac:dyDescent="0.2">
      <c r="A39" s="30">
        <v>438</v>
      </c>
      <c r="B39" s="123" t="s">
        <v>93</v>
      </c>
      <c r="C39" s="62">
        <v>5.67</v>
      </c>
      <c r="D39" s="28">
        <f t="shared" si="21"/>
        <v>476.28</v>
      </c>
      <c r="E39" s="28">
        <v>19800</v>
      </c>
      <c r="F39" s="28">
        <f t="shared" si="30"/>
        <v>8136.9863013698623</v>
      </c>
      <c r="G39" s="64">
        <f t="shared" si="26"/>
        <v>7323.2876712328762</v>
      </c>
      <c r="H39" s="27" t="s">
        <v>19</v>
      </c>
      <c r="I39" s="28">
        <f t="shared" si="27"/>
        <v>7799.5676712328759</v>
      </c>
      <c r="J39" s="28" t="s">
        <v>22</v>
      </c>
      <c r="K39" s="28">
        <v>19849</v>
      </c>
      <c r="L39" s="29" t="str">
        <f t="shared" si="23"/>
        <v>Project Prepay 24</v>
      </c>
      <c r="M39" s="43">
        <f t="shared" si="10"/>
        <v>0</v>
      </c>
      <c r="N39" s="43">
        <f t="shared" si="15"/>
        <v>0</v>
      </c>
      <c r="O39" s="43">
        <f t="shared" si="17"/>
        <v>0</v>
      </c>
      <c r="P39" s="43">
        <f t="shared" si="32"/>
        <v>0</v>
      </c>
      <c r="Q39" s="43">
        <f t="shared" si="32"/>
        <v>0</v>
      </c>
      <c r="R39" s="43">
        <f t="shared" si="19"/>
        <v>0</v>
      </c>
      <c r="S39" s="43">
        <f t="shared" si="33"/>
        <v>0</v>
      </c>
      <c r="T39" s="43">
        <f t="shared" si="33"/>
        <v>1</v>
      </c>
      <c r="U39" s="43">
        <f t="shared" si="33"/>
        <v>0</v>
      </c>
      <c r="V39" s="43">
        <f t="shared" si="33"/>
        <v>0</v>
      </c>
      <c r="W39" s="43">
        <f t="shared" si="33"/>
        <v>0</v>
      </c>
      <c r="X39" s="43">
        <f t="shared" si="33"/>
        <v>0</v>
      </c>
      <c r="Y39" s="43">
        <f t="shared" si="33"/>
        <v>0</v>
      </c>
      <c r="Z39" s="43">
        <f t="shared" si="33"/>
        <v>0</v>
      </c>
      <c r="AA39" s="43">
        <f t="shared" si="33"/>
        <v>0</v>
      </c>
      <c r="AB39" s="30" t="e">
        <f t="shared" si="33"/>
        <v>#N/A</v>
      </c>
      <c r="AC39" s="73">
        <f t="shared" si="20"/>
        <v>7799.5676712328759</v>
      </c>
      <c r="AD39" s="70">
        <f t="array" ref="AD39">(PRODUCT(IF($AW$15:$BE$15=AI39,$AW$17:$BE$17)))</f>
        <v>0.9</v>
      </c>
      <c r="AE39" s="71">
        <f t="shared" si="28"/>
        <v>-12049.432328767125</v>
      </c>
      <c r="AF39" s="71">
        <f t="shared" si="24"/>
        <v>8961.9942857142869</v>
      </c>
      <c r="AG39" s="71">
        <f t="shared" si="29"/>
        <v>-10887.005714285713</v>
      </c>
      <c r="AH39" s="71">
        <f t="shared" si="25"/>
        <v>1162.426614481411</v>
      </c>
      <c r="AI39" s="35">
        <v>2</v>
      </c>
    </row>
    <row r="40" spans="1:64" x14ac:dyDescent="0.2">
      <c r="A40" s="30">
        <v>434</v>
      </c>
      <c r="B40" s="123" t="s">
        <v>94</v>
      </c>
      <c r="C40" s="62">
        <v>5.67</v>
      </c>
      <c r="D40" s="28">
        <f t="shared" si="21"/>
        <v>476.28</v>
      </c>
      <c r="E40" s="28">
        <v>22600</v>
      </c>
      <c r="F40" s="28">
        <f t="shared" si="30"/>
        <v>9442.8969359331477</v>
      </c>
      <c r="G40" s="64">
        <f t="shared" si="26"/>
        <v>8876.3231197771584</v>
      </c>
      <c r="H40" s="27" t="s">
        <v>19</v>
      </c>
      <c r="I40" s="28">
        <f t="shared" si="27"/>
        <v>9352.603119777159</v>
      </c>
      <c r="J40" s="28" t="s">
        <v>3</v>
      </c>
      <c r="K40" s="28">
        <v>9352.6</v>
      </c>
      <c r="L40" s="29" t="str">
        <f t="shared" si="23"/>
        <v>Project Prepay 25</v>
      </c>
      <c r="M40" s="43">
        <f t="shared" si="10"/>
        <v>0</v>
      </c>
      <c r="N40" s="43">
        <f t="shared" si="15"/>
        <v>0</v>
      </c>
      <c r="O40" s="43">
        <f t="shared" si="17"/>
        <v>0</v>
      </c>
      <c r="P40" s="43">
        <f t="shared" si="32"/>
        <v>0</v>
      </c>
      <c r="Q40" s="43">
        <f t="shared" si="32"/>
        <v>0</v>
      </c>
      <c r="R40" s="43">
        <f t="shared" si="19"/>
        <v>0</v>
      </c>
      <c r="S40" s="43">
        <f t="shared" si="33"/>
        <v>1</v>
      </c>
      <c r="T40" s="43">
        <f t="shared" si="33"/>
        <v>0</v>
      </c>
      <c r="U40" s="43">
        <f t="shared" si="33"/>
        <v>0</v>
      </c>
      <c r="V40" s="43">
        <f t="shared" si="33"/>
        <v>0</v>
      </c>
      <c r="W40" s="43">
        <f t="shared" si="33"/>
        <v>0</v>
      </c>
      <c r="X40" s="43">
        <f t="shared" si="33"/>
        <v>0</v>
      </c>
      <c r="Y40" s="43">
        <f t="shared" si="33"/>
        <v>0</v>
      </c>
      <c r="Z40" s="43">
        <f t="shared" si="33"/>
        <v>0</v>
      </c>
      <c r="AA40" s="43">
        <f t="shared" si="33"/>
        <v>0</v>
      </c>
      <c r="AB40" s="30" t="e">
        <f t="shared" si="33"/>
        <v>#N/A</v>
      </c>
      <c r="AC40" s="73">
        <f t="shared" si="20"/>
        <v>9352.603119777159</v>
      </c>
      <c r="AD40" s="70">
        <f t="array" ref="AD40">(PRODUCT(IF($AW$15:$BE$15=AI40,$AW$17:$BE$17)))</f>
        <v>0.94</v>
      </c>
      <c r="AE40" s="71">
        <f t="shared" si="28"/>
        <v>3.1197771586448653E-3</v>
      </c>
      <c r="AF40" s="71">
        <f t="shared" si="24"/>
        <v>10161.994285714287</v>
      </c>
      <c r="AG40" s="71">
        <f t="shared" si="29"/>
        <v>809.39428571428653</v>
      </c>
      <c r="AH40" s="71">
        <f t="shared" si="25"/>
        <v>809.39116593712788</v>
      </c>
      <c r="AI40" s="35">
        <v>1</v>
      </c>
    </row>
    <row r="41" spans="1:64" x14ac:dyDescent="0.2">
      <c r="A41" s="30">
        <v>433</v>
      </c>
      <c r="B41" s="123" t="s">
        <v>95</v>
      </c>
      <c r="C41" s="62">
        <v>5.3550000000000004</v>
      </c>
      <c r="D41" s="28">
        <f t="shared" si="21"/>
        <v>449.82</v>
      </c>
      <c r="E41" s="28">
        <v>24700</v>
      </c>
      <c r="F41" s="28">
        <f t="shared" si="30"/>
        <v>10770.348837209303</v>
      </c>
      <c r="G41" s="64">
        <f t="shared" si="26"/>
        <v>11201.162790697676</v>
      </c>
      <c r="H41" s="27" t="s">
        <v>19</v>
      </c>
      <c r="I41" s="28">
        <f t="shared" si="27"/>
        <v>11650.982790697675</v>
      </c>
      <c r="J41" s="28" t="s">
        <v>5</v>
      </c>
      <c r="K41" s="28">
        <v>11714</v>
      </c>
      <c r="L41" s="29" t="str">
        <f t="shared" si="23"/>
        <v>Project Prepay 26</v>
      </c>
      <c r="M41" s="43">
        <f t="shared" si="10"/>
        <v>0</v>
      </c>
      <c r="N41" s="43">
        <f t="shared" si="15"/>
        <v>0</v>
      </c>
      <c r="O41" s="43">
        <f t="shared" si="17"/>
        <v>0</v>
      </c>
      <c r="P41" s="43">
        <f t="shared" si="32"/>
        <v>0</v>
      </c>
      <c r="Q41" s="43">
        <f t="shared" si="32"/>
        <v>0</v>
      </c>
      <c r="R41" s="43">
        <f t="shared" si="19"/>
        <v>0</v>
      </c>
      <c r="S41" s="43">
        <f t="shared" si="33"/>
        <v>0</v>
      </c>
      <c r="T41" s="43">
        <f t="shared" si="33"/>
        <v>0</v>
      </c>
      <c r="U41" s="43">
        <f t="shared" si="33"/>
        <v>1</v>
      </c>
      <c r="V41" s="43">
        <f t="shared" si="33"/>
        <v>0</v>
      </c>
      <c r="W41" s="43">
        <f t="shared" si="33"/>
        <v>0</v>
      </c>
      <c r="X41" s="43">
        <f t="shared" si="33"/>
        <v>0</v>
      </c>
      <c r="Y41" s="43">
        <f t="shared" si="33"/>
        <v>0</v>
      </c>
      <c r="Z41" s="43">
        <f t="shared" si="33"/>
        <v>0</v>
      </c>
      <c r="AA41" s="43">
        <f t="shared" si="33"/>
        <v>0</v>
      </c>
      <c r="AB41" s="30" t="e">
        <f t="shared" si="33"/>
        <v>#N/A</v>
      </c>
      <c r="AC41" s="73">
        <f t="shared" si="20"/>
        <v>11650.982790697675</v>
      </c>
      <c r="AD41" s="70">
        <f t="array" ref="AD41">(PRODUCT(IF($AW$15:$BE$15=AI41,$AW$17:$BE$17)))</f>
        <v>1.04</v>
      </c>
      <c r="AE41" s="71">
        <f t="shared" si="28"/>
        <v>-63.017209302324773</v>
      </c>
      <c r="AF41" s="71">
        <f t="shared" si="24"/>
        <v>11035.534285714286</v>
      </c>
      <c r="AG41" s="71">
        <f t="shared" si="29"/>
        <v>-678.46571428571406</v>
      </c>
      <c r="AH41" s="71">
        <f t="shared" si="25"/>
        <v>-615.44850498338928</v>
      </c>
      <c r="AI41" s="35">
        <v>3</v>
      </c>
    </row>
    <row r="42" spans="1:64" x14ac:dyDescent="0.2">
      <c r="A42" s="30">
        <v>431</v>
      </c>
      <c r="B42" s="123" t="s">
        <v>96</v>
      </c>
      <c r="C42" s="62">
        <v>4.7300000000000004</v>
      </c>
      <c r="D42" s="28">
        <f t="shared" si="21"/>
        <v>397.32</v>
      </c>
      <c r="E42" s="28">
        <v>17000</v>
      </c>
      <c r="F42" s="28">
        <f t="shared" si="30"/>
        <v>7103.0640668523683</v>
      </c>
      <c r="G42" s="64">
        <f t="shared" si="26"/>
        <v>6676.880222841226</v>
      </c>
      <c r="H42" s="27" t="s">
        <v>19</v>
      </c>
      <c r="I42" s="28">
        <f t="shared" si="27"/>
        <v>7074.2002228412257</v>
      </c>
      <c r="J42" s="28" t="s">
        <v>4</v>
      </c>
      <c r="K42" s="28">
        <v>6685</v>
      </c>
      <c r="L42" s="29" t="str">
        <f t="shared" si="23"/>
        <v>Project Prepay 27</v>
      </c>
      <c r="M42" s="43">
        <f t="shared" si="10"/>
        <v>0</v>
      </c>
      <c r="N42" s="43">
        <f t="shared" si="15"/>
        <v>0</v>
      </c>
      <c r="O42" s="43">
        <f t="shared" si="17"/>
        <v>0</v>
      </c>
      <c r="P42" s="43">
        <f t="shared" si="32"/>
        <v>0</v>
      </c>
      <c r="Q42" s="43">
        <f t="shared" si="32"/>
        <v>0</v>
      </c>
      <c r="R42" s="43">
        <f t="shared" si="19"/>
        <v>0</v>
      </c>
      <c r="S42" s="43">
        <f t="shared" si="33"/>
        <v>0</v>
      </c>
      <c r="T42" s="43">
        <f t="shared" si="33"/>
        <v>0</v>
      </c>
      <c r="U42" s="43">
        <f t="shared" si="33"/>
        <v>0</v>
      </c>
      <c r="V42" s="43">
        <f t="shared" si="33"/>
        <v>1</v>
      </c>
      <c r="W42" s="43">
        <f t="shared" si="33"/>
        <v>0</v>
      </c>
      <c r="X42" s="43">
        <f t="shared" si="33"/>
        <v>0</v>
      </c>
      <c r="Y42" s="43">
        <f t="shared" si="33"/>
        <v>0</v>
      </c>
      <c r="Z42" s="43">
        <f t="shared" si="33"/>
        <v>0</v>
      </c>
      <c r="AA42" s="43">
        <f t="shared" si="33"/>
        <v>0</v>
      </c>
      <c r="AB42" s="30" t="e">
        <f t="shared" si="33"/>
        <v>#N/A</v>
      </c>
      <c r="AC42" s="73">
        <f t="shared" si="20"/>
        <v>7074.2002228412257</v>
      </c>
      <c r="AD42" s="70">
        <f t="array" ref="AD42">(PRODUCT(IF($AW$15:$BE$15=AI42,$AW$17:$BE$17)))</f>
        <v>0.94</v>
      </c>
      <c r="AE42" s="71">
        <f t="shared" si="28"/>
        <v>389.2002228412257</v>
      </c>
      <c r="AF42" s="71">
        <f t="shared" si="24"/>
        <v>7683.034285714285</v>
      </c>
      <c r="AG42" s="71">
        <f t="shared" si="29"/>
        <v>998.03428571428503</v>
      </c>
      <c r="AH42" s="71">
        <f t="shared" si="25"/>
        <v>608.83406287305934</v>
      </c>
      <c r="AI42" s="35">
        <v>4</v>
      </c>
    </row>
    <row r="43" spans="1:64" x14ac:dyDescent="0.2">
      <c r="A43" s="30">
        <v>428</v>
      </c>
      <c r="B43" s="123" t="s">
        <v>97</v>
      </c>
      <c r="C43" s="62">
        <v>6.84</v>
      </c>
      <c r="D43" s="28">
        <f t="shared" si="21"/>
        <v>574.55999999999995</v>
      </c>
      <c r="E43" s="28">
        <v>30900</v>
      </c>
      <c r="F43" s="28">
        <f t="shared" si="30"/>
        <v>12698.630136986301</v>
      </c>
      <c r="G43" s="64">
        <f t="shared" si="26"/>
        <v>11428.767123287671</v>
      </c>
      <c r="H43" s="27" t="s">
        <v>19</v>
      </c>
      <c r="I43" s="28">
        <f t="shared" si="27"/>
        <v>12003.32712328767</v>
      </c>
      <c r="J43" s="28" t="s">
        <v>4</v>
      </c>
      <c r="K43" s="28">
        <v>19898</v>
      </c>
      <c r="L43" s="29" t="str">
        <f t="shared" si="23"/>
        <v>Project Prepay 28</v>
      </c>
      <c r="M43" s="43">
        <f t="shared" ref="M43:M74" si="34">($AI43=M$1)*1</f>
        <v>0</v>
      </c>
      <c r="N43" s="43">
        <f t="shared" si="15"/>
        <v>0</v>
      </c>
      <c r="O43" s="43">
        <f t="shared" si="17"/>
        <v>0</v>
      </c>
      <c r="P43" s="43">
        <f t="shared" si="32"/>
        <v>0</v>
      </c>
      <c r="Q43" s="43">
        <f t="shared" si="32"/>
        <v>0</v>
      </c>
      <c r="R43" s="43">
        <f t="shared" si="19"/>
        <v>0</v>
      </c>
      <c r="S43" s="43">
        <f t="shared" si="33"/>
        <v>0</v>
      </c>
      <c r="T43" s="43">
        <f t="shared" si="33"/>
        <v>1</v>
      </c>
      <c r="U43" s="43">
        <f t="shared" si="33"/>
        <v>0</v>
      </c>
      <c r="V43" s="43">
        <f t="shared" si="33"/>
        <v>0</v>
      </c>
      <c r="W43" s="43">
        <f t="shared" si="33"/>
        <v>0</v>
      </c>
      <c r="X43" s="43">
        <f t="shared" si="33"/>
        <v>0</v>
      </c>
      <c r="Y43" s="43">
        <f t="shared" si="33"/>
        <v>0</v>
      </c>
      <c r="Z43" s="43">
        <f t="shared" si="33"/>
        <v>0</v>
      </c>
      <c r="AA43" s="43">
        <f t="shared" si="33"/>
        <v>0</v>
      </c>
      <c r="AB43" s="30" t="e">
        <f t="shared" si="33"/>
        <v>#N/A</v>
      </c>
      <c r="AC43" s="73">
        <f t="shared" si="20"/>
        <v>12003.32712328767</v>
      </c>
      <c r="AD43" s="70">
        <f t="array" ref="AD43">(PRODUCT(IF($AW$15:$BE$15=AI43,$AW$17:$BE$17)))</f>
        <v>0.9</v>
      </c>
      <c r="AE43" s="71">
        <f t="shared" si="28"/>
        <v>-7894.6728767123295</v>
      </c>
      <c r="AF43" s="71">
        <f t="shared" si="24"/>
        <v>13817.417142857143</v>
      </c>
      <c r="AG43" s="71">
        <f t="shared" si="29"/>
        <v>-6080.5828571428574</v>
      </c>
      <c r="AH43" s="71">
        <f t="shared" si="25"/>
        <v>1814.0900195694721</v>
      </c>
      <c r="AI43" s="35">
        <v>2</v>
      </c>
    </row>
    <row r="44" spans="1:64" x14ac:dyDescent="0.2">
      <c r="A44" s="30">
        <v>426</v>
      </c>
      <c r="B44" s="123" t="s">
        <v>98</v>
      </c>
      <c r="C44" s="62">
        <v>4.2750000000000004</v>
      </c>
      <c r="D44" s="28">
        <f t="shared" si="21"/>
        <v>359.1</v>
      </c>
      <c r="E44" s="28">
        <v>23000</v>
      </c>
      <c r="F44" s="28">
        <f t="shared" si="30"/>
        <v>9610.0278551532028</v>
      </c>
      <c r="G44" s="64">
        <f t="shared" si="26"/>
        <v>9033.4261838440107</v>
      </c>
      <c r="H44" s="27" t="s">
        <v>19</v>
      </c>
      <c r="I44" s="28">
        <f t="shared" si="27"/>
        <v>9392.526183844011</v>
      </c>
      <c r="J44" s="28" t="s">
        <v>4</v>
      </c>
      <c r="K44" s="28">
        <v>12003</v>
      </c>
      <c r="L44" s="29" t="str">
        <f t="shared" si="23"/>
        <v>Project Prepay 29</v>
      </c>
      <c r="M44" s="43">
        <f t="shared" si="34"/>
        <v>0</v>
      </c>
      <c r="N44" s="43">
        <f t="shared" si="15"/>
        <v>0</v>
      </c>
      <c r="O44" s="43">
        <f t="shared" si="17"/>
        <v>0</v>
      </c>
      <c r="P44" s="43">
        <f t="shared" si="32"/>
        <v>0</v>
      </c>
      <c r="Q44" s="43">
        <f t="shared" si="32"/>
        <v>0</v>
      </c>
      <c r="R44" s="43">
        <f t="shared" si="19"/>
        <v>0</v>
      </c>
      <c r="S44" s="43">
        <f t="shared" ref="S44:AB53" si="35">($AI44=S$1)*1</f>
        <v>0</v>
      </c>
      <c r="T44" s="43">
        <f t="shared" si="35"/>
        <v>0</v>
      </c>
      <c r="U44" s="43">
        <f t="shared" si="35"/>
        <v>0</v>
      </c>
      <c r="V44" s="43">
        <f t="shared" si="35"/>
        <v>1</v>
      </c>
      <c r="W44" s="43">
        <f t="shared" si="35"/>
        <v>0</v>
      </c>
      <c r="X44" s="43">
        <f t="shared" si="35"/>
        <v>0</v>
      </c>
      <c r="Y44" s="43">
        <f t="shared" si="35"/>
        <v>0</v>
      </c>
      <c r="Z44" s="43">
        <f t="shared" si="35"/>
        <v>0</v>
      </c>
      <c r="AA44" s="43">
        <f t="shared" si="35"/>
        <v>0</v>
      </c>
      <c r="AB44" s="30" t="e">
        <f t="shared" si="35"/>
        <v>#N/A</v>
      </c>
      <c r="AC44" s="73">
        <f t="shared" si="20"/>
        <v>9392.526183844011</v>
      </c>
      <c r="AD44" s="70">
        <f t="array" ref="AD44">(PRODUCT(IF($AW$15:$BE$15=AI44,$AW$17:$BE$17)))</f>
        <v>0.94</v>
      </c>
      <c r="AE44" s="71">
        <f t="shared" si="28"/>
        <v>-2610.473816155989</v>
      </c>
      <c r="AF44" s="71">
        <f t="shared" si="24"/>
        <v>10216.242857142859</v>
      </c>
      <c r="AG44" s="71">
        <f t="shared" si="29"/>
        <v>-1786.7571428571409</v>
      </c>
      <c r="AH44" s="71">
        <f t="shared" si="25"/>
        <v>823.71667329884804</v>
      </c>
      <c r="AI44" s="35">
        <v>4</v>
      </c>
    </row>
    <row r="45" spans="1:64" x14ac:dyDescent="0.2">
      <c r="A45" s="30">
        <v>425</v>
      </c>
      <c r="B45" s="123" t="s">
        <v>99</v>
      </c>
      <c r="C45" s="62">
        <v>23.1</v>
      </c>
      <c r="D45" s="28">
        <f t="shared" si="21"/>
        <v>1940.4</v>
      </c>
      <c r="E45" s="28">
        <v>85850</v>
      </c>
      <c r="F45" s="28">
        <f t="shared" si="30"/>
        <v>35136.425648021832</v>
      </c>
      <c r="G45" s="64">
        <f t="shared" si="26"/>
        <v>31271.418826739431</v>
      </c>
      <c r="H45" s="27" t="s">
        <v>19</v>
      </c>
      <c r="I45" s="28">
        <f t="shared" si="27"/>
        <v>33211.818826739429</v>
      </c>
      <c r="J45" s="28" t="s">
        <v>5</v>
      </c>
      <c r="K45" s="28">
        <v>8866</v>
      </c>
      <c r="L45" s="29" t="str">
        <f t="shared" si="23"/>
        <v>Project Prepay 30</v>
      </c>
      <c r="M45" s="43">
        <f t="shared" si="34"/>
        <v>0</v>
      </c>
      <c r="N45" s="43">
        <f t="shared" ref="N45:N76" si="36">($AI45=N$1)*1</f>
        <v>0</v>
      </c>
      <c r="O45" s="43">
        <f t="shared" si="17"/>
        <v>0</v>
      </c>
      <c r="P45" s="43">
        <f t="shared" si="32"/>
        <v>0</v>
      </c>
      <c r="Q45" s="43">
        <f t="shared" si="32"/>
        <v>0</v>
      </c>
      <c r="R45" s="43">
        <f t="shared" si="19"/>
        <v>0</v>
      </c>
      <c r="S45" s="43">
        <f t="shared" si="35"/>
        <v>0</v>
      </c>
      <c r="T45" s="43">
        <f t="shared" si="35"/>
        <v>0</v>
      </c>
      <c r="U45" s="43">
        <f t="shared" si="35"/>
        <v>0</v>
      </c>
      <c r="V45" s="43">
        <f t="shared" si="35"/>
        <v>0</v>
      </c>
      <c r="W45" s="43">
        <f t="shared" si="35"/>
        <v>0</v>
      </c>
      <c r="X45" s="43">
        <f t="shared" si="35"/>
        <v>1</v>
      </c>
      <c r="Y45" s="43">
        <f t="shared" si="35"/>
        <v>0</v>
      </c>
      <c r="Z45" s="43">
        <f t="shared" si="35"/>
        <v>0</v>
      </c>
      <c r="AA45" s="43">
        <f t="shared" si="35"/>
        <v>0</v>
      </c>
      <c r="AB45" s="30" t="e">
        <f t="shared" si="35"/>
        <v>#N/A</v>
      </c>
      <c r="AC45" s="73">
        <f t="shared" si="20"/>
        <v>33211.818826739429</v>
      </c>
      <c r="AD45" s="70">
        <f t="array" ref="AD45">(PRODUCT(IF($AW$15:$BE$15=AI45,$AW$17:$BE$17)))</f>
        <v>0.89</v>
      </c>
      <c r="AE45" s="71">
        <f t="shared" si="28"/>
        <v>24345.818826739429</v>
      </c>
      <c r="AF45" s="71">
        <f t="shared" si="24"/>
        <v>38733.257142857146</v>
      </c>
      <c r="AG45" s="71">
        <f t="shared" si="29"/>
        <v>29867.257142857146</v>
      </c>
      <c r="AH45" s="71">
        <f t="shared" si="25"/>
        <v>5521.4383161177175</v>
      </c>
      <c r="AI45" s="35">
        <v>6</v>
      </c>
    </row>
    <row r="46" spans="1:64" x14ac:dyDescent="0.2">
      <c r="A46" s="30">
        <v>423</v>
      </c>
      <c r="B46" s="123" t="s">
        <v>100</v>
      </c>
      <c r="C46" s="62">
        <v>5.9850000000000003</v>
      </c>
      <c r="D46" s="28">
        <f t="shared" si="21"/>
        <v>502.74</v>
      </c>
      <c r="E46" s="28">
        <v>17000</v>
      </c>
      <c r="F46" s="28">
        <f t="shared" si="30"/>
        <v>7412.7906976744189</v>
      </c>
      <c r="G46" s="64">
        <f t="shared" si="26"/>
        <v>7709.302325581396</v>
      </c>
      <c r="H46" s="27" t="s">
        <v>19</v>
      </c>
      <c r="I46" s="28">
        <f t="shared" si="27"/>
        <v>8212.0423255813967</v>
      </c>
      <c r="J46" s="28" t="s">
        <v>5</v>
      </c>
      <c r="K46" s="28">
        <v>41090</v>
      </c>
      <c r="L46" s="29" t="str">
        <f t="shared" si="23"/>
        <v>Project Prepay 31</v>
      </c>
      <c r="M46" s="43">
        <f t="shared" si="34"/>
        <v>0</v>
      </c>
      <c r="N46" s="43">
        <f t="shared" si="36"/>
        <v>0</v>
      </c>
      <c r="O46" s="43">
        <f t="shared" ref="O46:O77" si="37">($AI46=O$1)*1</f>
        <v>0</v>
      </c>
      <c r="P46" s="43">
        <f t="shared" si="32"/>
        <v>0</v>
      </c>
      <c r="Q46" s="43">
        <f t="shared" si="32"/>
        <v>0</v>
      </c>
      <c r="R46" s="43">
        <f t="shared" si="19"/>
        <v>0</v>
      </c>
      <c r="S46" s="43">
        <f t="shared" si="35"/>
        <v>0</v>
      </c>
      <c r="T46" s="43">
        <f t="shared" si="35"/>
        <v>0</v>
      </c>
      <c r="U46" s="43">
        <f t="shared" si="35"/>
        <v>1</v>
      </c>
      <c r="V46" s="43">
        <f t="shared" si="35"/>
        <v>0</v>
      </c>
      <c r="W46" s="43">
        <f t="shared" si="35"/>
        <v>0</v>
      </c>
      <c r="X46" s="43">
        <f t="shared" si="35"/>
        <v>0</v>
      </c>
      <c r="Y46" s="43">
        <f t="shared" si="35"/>
        <v>0</v>
      </c>
      <c r="Z46" s="43">
        <f t="shared" si="35"/>
        <v>0</v>
      </c>
      <c r="AA46" s="43">
        <f t="shared" si="35"/>
        <v>0</v>
      </c>
      <c r="AB46" s="30" t="e">
        <f t="shared" si="35"/>
        <v>#N/A</v>
      </c>
      <c r="AC46" s="73">
        <f t="shared" si="20"/>
        <v>8212.0423255813967</v>
      </c>
      <c r="AD46" s="70">
        <f t="array" ref="AD46">(PRODUCT(IF($AW$15:$BE$15=AI46,$AW$17:$BE$17)))</f>
        <v>1.04</v>
      </c>
      <c r="AE46" s="71">
        <f t="shared" si="28"/>
        <v>-32877.957674418605</v>
      </c>
      <c r="AF46" s="71">
        <f t="shared" si="24"/>
        <v>7788.4542857142851</v>
      </c>
      <c r="AG46" s="71">
        <f t="shared" si="29"/>
        <v>-33301.545714285712</v>
      </c>
      <c r="AH46" s="71">
        <f t="shared" si="25"/>
        <v>-423.58803986711155</v>
      </c>
      <c r="AI46" s="35">
        <v>3</v>
      </c>
    </row>
    <row r="47" spans="1:64" s="9" customFormat="1" x14ac:dyDescent="0.2">
      <c r="A47" s="30">
        <v>421</v>
      </c>
      <c r="B47" s="123" t="s">
        <v>101</v>
      </c>
      <c r="C47" s="62">
        <v>15.12</v>
      </c>
      <c r="D47" s="28">
        <f t="shared" si="21"/>
        <v>1270.08</v>
      </c>
      <c r="E47" s="28">
        <v>46268</v>
      </c>
      <c r="F47" s="28">
        <f t="shared" si="30"/>
        <v>18936.425648021828</v>
      </c>
      <c r="G47" s="64">
        <f t="shared" si="26"/>
        <v>16853.418826739427</v>
      </c>
      <c r="H47" s="27" t="s">
        <v>19</v>
      </c>
      <c r="I47" s="28">
        <f t="shared" si="27"/>
        <v>18123.498826739429</v>
      </c>
      <c r="J47" s="28" t="s">
        <v>4</v>
      </c>
      <c r="K47" s="28">
        <v>8255</v>
      </c>
      <c r="L47" s="29" t="str">
        <f t="shared" si="23"/>
        <v>Project Prepay 32</v>
      </c>
      <c r="M47" s="43">
        <f t="shared" si="34"/>
        <v>0</v>
      </c>
      <c r="N47" s="43">
        <f t="shared" si="36"/>
        <v>0</v>
      </c>
      <c r="O47" s="43">
        <f t="shared" si="37"/>
        <v>0</v>
      </c>
      <c r="P47" s="43">
        <f t="shared" si="32"/>
        <v>0</v>
      </c>
      <c r="Q47" s="43">
        <f t="shared" si="32"/>
        <v>0</v>
      </c>
      <c r="R47" s="43">
        <f t="shared" ref="R47:R78" si="38">($AI47=R$1)*1</f>
        <v>0</v>
      </c>
      <c r="S47" s="43">
        <f t="shared" si="35"/>
        <v>0</v>
      </c>
      <c r="T47" s="43">
        <f t="shared" si="35"/>
        <v>0</v>
      </c>
      <c r="U47" s="43">
        <f t="shared" si="35"/>
        <v>0</v>
      </c>
      <c r="V47" s="43">
        <f t="shared" si="35"/>
        <v>0</v>
      </c>
      <c r="W47" s="43">
        <f t="shared" si="35"/>
        <v>0</v>
      </c>
      <c r="X47" s="43">
        <f t="shared" si="35"/>
        <v>0</v>
      </c>
      <c r="Y47" s="43">
        <f t="shared" si="35"/>
        <v>0</v>
      </c>
      <c r="Z47" s="43">
        <f t="shared" si="35"/>
        <v>1</v>
      </c>
      <c r="AA47" s="43">
        <f t="shared" si="35"/>
        <v>0</v>
      </c>
      <c r="AB47" s="42" t="e">
        <f t="shared" si="35"/>
        <v>#N/A</v>
      </c>
      <c r="AC47" s="73">
        <f t="shared" si="20"/>
        <v>18123.498826739429</v>
      </c>
      <c r="AD47" s="70">
        <f t="array" ref="AD47">(PRODUCT(IF($AW$15:$BE$15=AI47,$AW$17:$BE$17)))</f>
        <v>0.89</v>
      </c>
      <c r="AE47" s="71">
        <f t="shared" si="28"/>
        <v>9868.4988267394292</v>
      </c>
      <c r="AF47" s="71">
        <f t="shared" si="24"/>
        <v>21099.222857142857</v>
      </c>
      <c r="AG47" s="71">
        <f t="shared" si="29"/>
        <v>12844.222857142857</v>
      </c>
      <c r="AH47" s="71">
        <f t="shared" si="25"/>
        <v>2975.7240304034276</v>
      </c>
      <c r="AI47" s="35">
        <v>8</v>
      </c>
    </row>
    <row r="48" spans="1:64" x14ac:dyDescent="0.2">
      <c r="A48" s="30">
        <v>419</v>
      </c>
      <c r="B48" s="123" t="s">
        <v>102</v>
      </c>
      <c r="C48" s="62">
        <v>11.97</v>
      </c>
      <c r="D48" s="28">
        <f t="shared" si="21"/>
        <v>1005.48</v>
      </c>
      <c r="E48" s="28">
        <v>40500</v>
      </c>
      <c r="F48" s="28">
        <f t="shared" si="30"/>
        <v>16922.005571030641</v>
      </c>
      <c r="G48" s="64">
        <f t="shared" si="26"/>
        <v>15906.685236768801</v>
      </c>
      <c r="H48" s="27" t="s">
        <v>19</v>
      </c>
      <c r="I48" s="28">
        <f t="shared" si="27"/>
        <v>16912.1652367688</v>
      </c>
      <c r="J48" s="28" t="s">
        <v>3</v>
      </c>
      <c r="K48" s="28">
        <v>18383</v>
      </c>
      <c r="L48" s="29" t="str">
        <f t="shared" si="23"/>
        <v>Project Prepay 33</v>
      </c>
      <c r="M48" s="43">
        <f t="shared" si="34"/>
        <v>0</v>
      </c>
      <c r="N48" s="43">
        <f t="shared" si="36"/>
        <v>0</v>
      </c>
      <c r="O48" s="43">
        <f t="shared" si="37"/>
        <v>0</v>
      </c>
      <c r="P48" s="43">
        <f t="shared" si="32"/>
        <v>0</v>
      </c>
      <c r="Q48" s="43">
        <f t="shared" si="32"/>
        <v>0</v>
      </c>
      <c r="R48" s="43">
        <f t="shared" si="38"/>
        <v>0</v>
      </c>
      <c r="S48" s="43">
        <f t="shared" si="35"/>
        <v>1</v>
      </c>
      <c r="T48" s="43">
        <f t="shared" si="35"/>
        <v>0</v>
      </c>
      <c r="U48" s="43">
        <f t="shared" si="35"/>
        <v>0</v>
      </c>
      <c r="V48" s="43">
        <f t="shared" si="35"/>
        <v>0</v>
      </c>
      <c r="W48" s="43">
        <f t="shared" si="35"/>
        <v>0</v>
      </c>
      <c r="X48" s="43">
        <f t="shared" si="35"/>
        <v>0</v>
      </c>
      <c r="Y48" s="43">
        <f t="shared" si="35"/>
        <v>0</v>
      </c>
      <c r="Z48" s="43">
        <f t="shared" si="35"/>
        <v>0</v>
      </c>
      <c r="AA48" s="43">
        <f t="shared" si="35"/>
        <v>0</v>
      </c>
      <c r="AB48" s="30" t="e">
        <f t="shared" si="35"/>
        <v>#N/A</v>
      </c>
      <c r="AC48" s="73">
        <f t="shared" si="20"/>
        <v>16912.1652367688</v>
      </c>
      <c r="AD48" s="70">
        <f t="array" ref="AD48">(PRODUCT(IF($AW$15:$BE$15=AI48,$AW$17:$BE$17)))</f>
        <v>0.94</v>
      </c>
      <c r="AE48" s="71">
        <f t="shared" si="28"/>
        <v>-1470.8347632311998</v>
      </c>
      <c r="AF48" s="71">
        <f t="shared" si="24"/>
        <v>18362.622857142858</v>
      </c>
      <c r="AG48" s="71">
        <f t="shared" si="29"/>
        <v>-20.377142857141735</v>
      </c>
      <c r="AH48" s="71">
        <f t="shared" si="25"/>
        <v>1450.457620374058</v>
      </c>
      <c r="AI48" s="35">
        <v>1</v>
      </c>
    </row>
    <row r="49" spans="1:35" x14ac:dyDescent="0.2">
      <c r="A49" s="30">
        <v>418</v>
      </c>
      <c r="B49" s="123" t="s">
        <v>103</v>
      </c>
      <c r="C49" s="62">
        <v>4.2699999999999996</v>
      </c>
      <c r="D49" s="28">
        <f t="shared" si="21"/>
        <v>358.67999999999995</v>
      </c>
      <c r="E49" s="28">
        <v>17500</v>
      </c>
      <c r="F49" s="28">
        <f t="shared" si="30"/>
        <v>7311.9777158774377</v>
      </c>
      <c r="G49" s="64">
        <f t="shared" si="26"/>
        <v>6873.2590529247909</v>
      </c>
      <c r="H49" s="27" t="s">
        <v>19</v>
      </c>
      <c r="I49" s="28">
        <f t="shared" si="27"/>
        <v>7231.9390529247912</v>
      </c>
      <c r="J49" s="28" t="s">
        <v>3</v>
      </c>
      <c r="K49" s="28">
        <v>16912.169999999998</v>
      </c>
      <c r="L49" s="29" t="str">
        <f t="shared" si="23"/>
        <v>Project Prepay 34</v>
      </c>
      <c r="M49" s="43">
        <f t="shared" si="34"/>
        <v>0</v>
      </c>
      <c r="N49" s="43">
        <f t="shared" si="36"/>
        <v>0</v>
      </c>
      <c r="O49" s="43">
        <f t="shared" si="37"/>
        <v>0</v>
      </c>
      <c r="P49" s="43">
        <f t="shared" si="32"/>
        <v>0</v>
      </c>
      <c r="Q49" s="43">
        <f t="shared" si="32"/>
        <v>0</v>
      </c>
      <c r="R49" s="43">
        <f t="shared" si="38"/>
        <v>0</v>
      </c>
      <c r="S49" s="43">
        <f t="shared" si="35"/>
        <v>1</v>
      </c>
      <c r="T49" s="43">
        <f t="shared" si="35"/>
        <v>0</v>
      </c>
      <c r="U49" s="43">
        <f t="shared" si="35"/>
        <v>0</v>
      </c>
      <c r="V49" s="43">
        <f t="shared" si="35"/>
        <v>0</v>
      </c>
      <c r="W49" s="43">
        <f t="shared" si="35"/>
        <v>0</v>
      </c>
      <c r="X49" s="43">
        <f t="shared" si="35"/>
        <v>0</v>
      </c>
      <c r="Y49" s="43">
        <f t="shared" si="35"/>
        <v>0</v>
      </c>
      <c r="Z49" s="43">
        <f t="shared" si="35"/>
        <v>0</v>
      </c>
      <c r="AA49" s="43">
        <f t="shared" si="35"/>
        <v>0</v>
      </c>
      <c r="AB49" s="30" t="e">
        <f t="shared" si="35"/>
        <v>#N/A</v>
      </c>
      <c r="AC49" s="73">
        <f t="shared" si="20"/>
        <v>7231.9390529247912</v>
      </c>
      <c r="AD49" s="70">
        <f t="array" ref="AD49">(PRODUCT(IF($AW$15:$BE$15=AI49,$AW$17:$BE$17)))</f>
        <v>0.94</v>
      </c>
      <c r="AE49" s="71">
        <f t="shared" si="28"/>
        <v>-9680.230947075208</v>
      </c>
      <c r="AF49" s="71">
        <f t="shared" si="24"/>
        <v>7858.68</v>
      </c>
      <c r="AG49" s="71">
        <f t="shared" si="29"/>
        <v>-9053.489999999998</v>
      </c>
      <c r="AH49" s="71">
        <f t="shared" si="25"/>
        <v>626.74094707520908</v>
      </c>
      <c r="AI49" s="35">
        <v>1</v>
      </c>
    </row>
    <row r="50" spans="1:35" x14ac:dyDescent="0.2">
      <c r="A50" s="30">
        <v>417</v>
      </c>
      <c r="B50" s="123" t="s">
        <v>104</v>
      </c>
      <c r="C50" s="62">
        <v>4.875</v>
      </c>
      <c r="D50" s="28">
        <f t="shared" si="21"/>
        <v>409.5</v>
      </c>
      <c r="E50" s="28">
        <v>21500</v>
      </c>
      <c r="F50" s="28">
        <f t="shared" si="30"/>
        <v>8835.6164383561645</v>
      </c>
      <c r="G50" s="64">
        <f t="shared" si="26"/>
        <v>7952.0547945205481</v>
      </c>
      <c r="H50" s="27" t="s">
        <v>19</v>
      </c>
      <c r="I50" s="28">
        <f t="shared" si="27"/>
        <v>8361.5547945205471</v>
      </c>
      <c r="J50" s="28" t="s">
        <v>4</v>
      </c>
      <c r="K50" s="28">
        <v>7231.94</v>
      </c>
      <c r="L50" s="29" t="str">
        <f t="shared" si="23"/>
        <v>Project Prepay 35</v>
      </c>
      <c r="M50" s="43">
        <f t="shared" si="34"/>
        <v>0</v>
      </c>
      <c r="N50" s="43">
        <f t="shared" si="36"/>
        <v>0</v>
      </c>
      <c r="O50" s="43">
        <f t="shared" si="37"/>
        <v>0</v>
      </c>
      <c r="P50" s="43">
        <f t="shared" si="32"/>
        <v>0</v>
      </c>
      <c r="Q50" s="43">
        <f t="shared" si="32"/>
        <v>0</v>
      </c>
      <c r="R50" s="43">
        <f t="shared" si="38"/>
        <v>0</v>
      </c>
      <c r="S50" s="43">
        <f t="shared" si="35"/>
        <v>0</v>
      </c>
      <c r="T50" s="43">
        <f t="shared" si="35"/>
        <v>1</v>
      </c>
      <c r="U50" s="43">
        <f t="shared" si="35"/>
        <v>0</v>
      </c>
      <c r="V50" s="43">
        <f t="shared" si="35"/>
        <v>0</v>
      </c>
      <c r="W50" s="43">
        <f t="shared" si="35"/>
        <v>0</v>
      </c>
      <c r="X50" s="43">
        <f t="shared" si="35"/>
        <v>0</v>
      </c>
      <c r="Y50" s="43">
        <f t="shared" si="35"/>
        <v>0</v>
      </c>
      <c r="Z50" s="43">
        <f t="shared" si="35"/>
        <v>0</v>
      </c>
      <c r="AA50" s="43">
        <f t="shared" si="35"/>
        <v>0</v>
      </c>
      <c r="AB50" s="30" t="e">
        <f t="shared" si="35"/>
        <v>#N/A</v>
      </c>
      <c r="AC50" s="73">
        <f t="shared" si="20"/>
        <v>8361.5547945205471</v>
      </c>
      <c r="AD50" s="70">
        <f t="array" ref="AD50">(PRODUCT(IF($AW$15:$BE$15=AI50,$AW$17:$BE$17)))</f>
        <v>0.9</v>
      </c>
      <c r="AE50" s="71">
        <f t="shared" si="28"/>
        <v>1129.6147945205475</v>
      </c>
      <c r="AF50" s="71">
        <f t="shared" si="24"/>
        <v>9623.7857142857156</v>
      </c>
      <c r="AG50" s="71">
        <f t="shared" si="29"/>
        <v>2391.845714285716</v>
      </c>
      <c r="AH50" s="71">
        <f t="shared" si="25"/>
        <v>1262.2309197651684</v>
      </c>
      <c r="AI50" s="35">
        <v>2</v>
      </c>
    </row>
    <row r="51" spans="1:35" x14ac:dyDescent="0.2">
      <c r="A51" s="30">
        <v>415</v>
      </c>
      <c r="B51" s="123" t="s">
        <v>105</v>
      </c>
      <c r="C51" s="62">
        <v>8.5500000000000007</v>
      </c>
      <c r="D51" s="28">
        <f t="shared" si="21"/>
        <v>718.2</v>
      </c>
      <c r="E51" s="28">
        <v>32000</v>
      </c>
      <c r="F51" s="28">
        <f t="shared" si="30"/>
        <v>13370.473537604457</v>
      </c>
      <c r="G51" s="64">
        <f t="shared" si="26"/>
        <v>12568.245125348189</v>
      </c>
      <c r="H51" s="27" t="s">
        <v>19</v>
      </c>
      <c r="I51" s="28">
        <f t="shared" si="27"/>
        <v>13286.445125348189</v>
      </c>
      <c r="J51" s="28" t="s">
        <v>4</v>
      </c>
      <c r="K51" s="28">
        <v>8362</v>
      </c>
      <c r="L51" s="29" t="str">
        <f t="shared" si="23"/>
        <v>Project Prepay 36</v>
      </c>
      <c r="M51" s="43">
        <f t="shared" si="34"/>
        <v>0</v>
      </c>
      <c r="N51" s="43">
        <f t="shared" si="36"/>
        <v>0</v>
      </c>
      <c r="O51" s="43">
        <f t="shared" si="37"/>
        <v>0</v>
      </c>
      <c r="P51" s="43">
        <f t="shared" si="32"/>
        <v>0</v>
      </c>
      <c r="Q51" s="43">
        <f t="shared" si="32"/>
        <v>0</v>
      </c>
      <c r="R51" s="43">
        <f t="shared" si="38"/>
        <v>0</v>
      </c>
      <c r="S51" s="43">
        <f t="shared" si="35"/>
        <v>1</v>
      </c>
      <c r="T51" s="43">
        <f t="shared" si="35"/>
        <v>0</v>
      </c>
      <c r="U51" s="43">
        <f t="shared" si="35"/>
        <v>0</v>
      </c>
      <c r="V51" s="43">
        <f t="shared" si="35"/>
        <v>0</v>
      </c>
      <c r="W51" s="43">
        <f t="shared" si="35"/>
        <v>0</v>
      </c>
      <c r="X51" s="43">
        <f t="shared" si="35"/>
        <v>0</v>
      </c>
      <c r="Y51" s="43">
        <f t="shared" si="35"/>
        <v>0</v>
      </c>
      <c r="Z51" s="43">
        <f t="shared" si="35"/>
        <v>0</v>
      </c>
      <c r="AA51" s="43">
        <f t="shared" si="35"/>
        <v>0</v>
      </c>
      <c r="AB51" s="30" t="e">
        <f t="shared" si="35"/>
        <v>#N/A</v>
      </c>
      <c r="AC51" s="73">
        <f t="shared" si="20"/>
        <v>13286.445125348189</v>
      </c>
      <c r="AD51" s="70">
        <f t="array" ref="AD51">(PRODUCT(IF($AW$15:$BE$15=AI51,$AW$17:$BE$17)))</f>
        <v>0.94</v>
      </c>
      <c r="AE51" s="71">
        <f t="shared" si="28"/>
        <v>4924.4451253481893</v>
      </c>
      <c r="AF51" s="71">
        <f t="shared" si="24"/>
        <v>14432.485714285716</v>
      </c>
      <c r="AG51" s="71">
        <f t="shared" si="29"/>
        <v>6070.4857142857163</v>
      </c>
      <c r="AH51" s="71">
        <f t="shared" si="25"/>
        <v>1146.040588937527</v>
      </c>
      <c r="AI51" s="35">
        <v>1</v>
      </c>
    </row>
    <row r="52" spans="1:35" x14ac:dyDescent="0.2">
      <c r="A52" s="30">
        <v>414</v>
      </c>
      <c r="B52" s="123" t="s">
        <v>106</v>
      </c>
      <c r="C52" s="62">
        <v>4.2699999999999996</v>
      </c>
      <c r="D52" s="28">
        <f t="shared" si="21"/>
        <v>358.67999999999995</v>
      </c>
      <c r="E52" s="28">
        <v>18200</v>
      </c>
      <c r="F52" s="28">
        <f t="shared" si="30"/>
        <v>7604.4568245125347</v>
      </c>
      <c r="G52" s="64">
        <f t="shared" si="26"/>
        <v>7148.189415041782</v>
      </c>
      <c r="H52" s="27" t="s">
        <v>19</v>
      </c>
      <c r="I52" s="28">
        <f t="shared" si="27"/>
        <v>7506.8694150417823</v>
      </c>
      <c r="J52" s="28" t="s">
        <v>5</v>
      </c>
      <c r="K52" s="28">
        <v>12554</v>
      </c>
      <c r="L52" s="29" t="str">
        <f t="shared" si="23"/>
        <v>Project Prepay 37</v>
      </c>
      <c r="M52" s="43">
        <f t="shared" si="34"/>
        <v>0</v>
      </c>
      <c r="N52" s="43">
        <f t="shared" si="36"/>
        <v>0</v>
      </c>
      <c r="O52" s="43">
        <f t="shared" si="37"/>
        <v>0</v>
      </c>
      <c r="P52" s="43">
        <f t="shared" si="32"/>
        <v>0</v>
      </c>
      <c r="Q52" s="43">
        <f t="shared" si="32"/>
        <v>0</v>
      </c>
      <c r="R52" s="43">
        <f t="shared" si="38"/>
        <v>0</v>
      </c>
      <c r="S52" s="43">
        <f t="shared" si="35"/>
        <v>1</v>
      </c>
      <c r="T52" s="43">
        <f t="shared" si="35"/>
        <v>0</v>
      </c>
      <c r="U52" s="43">
        <f t="shared" si="35"/>
        <v>0</v>
      </c>
      <c r="V52" s="43">
        <f t="shared" si="35"/>
        <v>0</v>
      </c>
      <c r="W52" s="43">
        <f t="shared" si="35"/>
        <v>0</v>
      </c>
      <c r="X52" s="43">
        <f t="shared" si="35"/>
        <v>0</v>
      </c>
      <c r="Y52" s="43">
        <f t="shared" si="35"/>
        <v>0</v>
      </c>
      <c r="Z52" s="43">
        <f t="shared" si="35"/>
        <v>0</v>
      </c>
      <c r="AA52" s="43">
        <f t="shared" si="35"/>
        <v>0</v>
      </c>
      <c r="AB52" s="30" t="e">
        <f t="shared" si="35"/>
        <v>#N/A</v>
      </c>
      <c r="AC52" s="73">
        <f t="shared" si="20"/>
        <v>7506.8694150417823</v>
      </c>
      <c r="AD52" s="70">
        <f t="array" ref="AD52">(PRODUCT(IF($AW$15:$BE$15=AI52,$AW$17:$BE$17)))</f>
        <v>0.94</v>
      </c>
      <c r="AE52" s="71">
        <f t="shared" si="28"/>
        <v>-5047.1305849582177</v>
      </c>
      <c r="AF52" s="71">
        <f t="shared" si="24"/>
        <v>8158.68</v>
      </c>
      <c r="AG52" s="71">
        <f t="shared" si="29"/>
        <v>-4395.32</v>
      </c>
      <c r="AH52" s="71">
        <f t="shared" si="25"/>
        <v>651.81058495821799</v>
      </c>
      <c r="AI52" s="35">
        <v>1</v>
      </c>
    </row>
    <row r="53" spans="1:35" x14ac:dyDescent="0.2">
      <c r="A53" s="30">
        <v>412</v>
      </c>
      <c r="B53" s="123" t="s">
        <v>107</v>
      </c>
      <c r="C53" s="62">
        <v>7.41</v>
      </c>
      <c r="D53" s="28">
        <f t="shared" si="21"/>
        <v>622.44000000000005</v>
      </c>
      <c r="E53" s="28">
        <v>28600</v>
      </c>
      <c r="F53" s="28">
        <f t="shared" si="30"/>
        <v>11705.320600272851</v>
      </c>
      <c r="G53" s="64">
        <f t="shared" si="26"/>
        <v>10417.735334242838</v>
      </c>
      <c r="H53" s="27" t="s">
        <v>19</v>
      </c>
      <c r="I53" s="28">
        <f t="shared" si="27"/>
        <v>11040.175334242838</v>
      </c>
      <c r="J53" s="28" t="s">
        <v>4</v>
      </c>
      <c r="K53" s="28">
        <v>8658</v>
      </c>
      <c r="L53" s="29" t="str">
        <f t="shared" si="23"/>
        <v>Project Prepay 38</v>
      </c>
      <c r="M53" s="43">
        <f t="shared" si="34"/>
        <v>0</v>
      </c>
      <c r="N53" s="43">
        <f t="shared" si="36"/>
        <v>0</v>
      </c>
      <c r="O53" s="43">
        <f t="shared" si="37"/>
        <v>0</v>
      </c>
      <c r="P53" s="43">
        <f t="shared" ref="P53:Q72" si="39">($AI53=P$1)*1</f>
        <v>0</v>
      </c>
      <c r="Q53" s="43">
        <f t="shared" si="39"/>
        <v>0</v>
      </c>
      <c r="R53" s="43">
        <f t="shared" si="38"/>
        <v>0</v>
      </c>
      <c r="S53" s="43">
        <f t="shared" si="35"/>
        <v>0</v>
      </c>
      <c r="T53" s="43">
        <f t="shared" si="35"/>
        <v>0</v>
      </c>
      <c r="U53" s="43">
        <f t="shared" si="35"/>
        <v>0</v>
      </c>
      <c r="V53" s="43">
        <f t="shared" si="35"/>
        <v>0</v>
      </c>
      <c r="W53" s="43">
        <f t="shared" si="35"/>
        <v>0</v>
      </c>
      <c r="X53" s="43">
        <f t="shared" si="35"/>
        <v>0</v>
      </c>
      <c r="Y53" s="43">
        <f t="shared" si="35"/>
        <v>0</v>
      </c>
      <c r="Z53" s="43">
        <f t="shared" si="35"/>
        <v>1</v>
      </c>
      <c r="AA53" s="43">
        <f t="shared" si="35"/>
        <v>0</v>
      </c>
      <c r="AB53" s="30" t="e">
        <f t="shared" si="35"/>
        <v>#N/A</v>
      </c>
      <c r="AC53" s="73">
        <f t="shared" si="20"/>
        <v>11040.175334242838</v>
      </c>
      <c r="AD53" s="70">
        <f t="array" ref="AD53">(PRODUCT(IF($AW$15:$BE$15=AI53,$AW$17:$BE$17)))</f>
        <v>0.89</v>
      </c>
      <c r="AE53" s="71">
        <f t="shared" si="28"/>
        <v>2382.1753342428383</v>
      </c>
      <c r="AF53" s="71">
        <f t="shared" si="24"/>
        <v>12879.582857142859</v>
      </c>
      <c r="AG53" s="71">
        <f t="shared" si="29"/>
        <v>4221.5828571428592</v>
      </c>
      <c r="AH53" s="71">
        <f t="shared" si="25"/>
        <v>1839.4075229000209</v>
      </c>
      <c r="AI53" s="35">
        <v>8</v>
      </c>
    </row>
    <row r="54" spans="1:35" x14ac:dyDescent="0.2">
      <c r="A54" s="30">
        <v>411</v>
      </c>
      <c r="B54" s="123" t="s">
        <v>108</v>
      </c>
      <c r="C54" s="62">
        <v>7.2</v>
      </c>
      <c r="D54" s="28">
        <f t="shared" si="21"/>
        <v>604.79999999999995</v>
      </c>
      <c r="E54" s="28">
        <v>23568</v>
      </c>
      <c r="F54" s="28">
        <f t="shared" si="30"/>
        <v>9847.3537604456815</v>
      </c>
      <c r="G54" s="64">
        <f t="shared" si="26"/>
        <v>9256.5125348189395</v>
      </c>
      <c r="H54" s="27" t="s">
        <v>19</v>
      </c>
      <c r="I54" s="28">
        <f t="shared" si="27"/>
        <v>9861.3125348189387</v>
      </c>
      <c r="J54" s="28" t="s">
        <v>5</v>
      </c>
      <c r="K54" s="28">
        <v>11201</v>
      </c>
      <c r="L54" s="29" t="str">
        <f t="shared" si="23"/>
        <v>Project Prepay 39</v>
      </c>
      <c r="M54" s="43">
        <f t="shared" si="34"/>
        <v>0</v>
      </c>
      <c r="N54" s="43">
        <f t="shared" si="36"/>
        <v>0</v>
      </c>
      <c r="O54" s="43">
        <f t="shared" si="37"/>
        <v>0</v>
      </c>
      <c r="P54" s="43">
        <f t="shared" si="39"/>
        <v>0</v>
      </c>
      <c r="Q54" s="43">
        <f t="shared" si="39"/>
        <v>0</v>
      </c>
      <c r="R54" s="43">
        <f t="shared" si="38"/>
        <v>0</v>
      </c>
      <c r="S54" s="43">
        <f t="shared" ref="S54:AB63" si="40">($AI54=S$1)*1</f>
        <v>0</v>
      </c>
      <c r="T54" s="43">
        <f t="shared" si="40"/>
        <v>0</v>
      </c>
      <c r="U54" s="43">
        <f t="shared" si="40"/>
        <v>0</v>
      </c>
      <c r="V54" s="43">
        <f t="shared" si="40"/>
        <v>1</v>
      </c>
      <c r="W54" s="43">
        <f t="shared" si="40"/>
        <v>0</v>
      </c>
      <c r="X54" s="43">
        <f t="shared" si="40"/>
        <v>0</v>
      </c>
      <c r="Y54" s="43">
        <f t="shared" si="40"/>
        <v>0</v>
      </c>
      <c r="Z54" s="43">
        <f t="shared" si="40"/>
        <v>0</v>
      </c>
      <c r="AA54" s="43">
        <f t="shared" si="40"/>
        <v>0</v>
      </c>
      <c r="AB54" s="30" t="e">
        <f t="shared" si="40"/>
        <v>#N/A</v>
      </c>
      <c r="AC54" s="73">
        <f t="shared" si="20"/>
        <v>9861.3125348189387</v>
      </c>
      <c r="AD54" s="70">
        <f t="array" ref="AD54">(PRODUCT(IF($AW$15:$BE$15=AI54,$AW$17:$BE$17)))</f>
        <v>0.94</v>
      </c>
      <c r="AE54" s="71">
        <f t="shared" si="28"/>
        <v>-1339.6874651810613</v>
      </c>
      <c r="AF54" s="71">
        <f t="shared" si="24"/>
        <v>10705.371428571427</v>
      </c>
      <c r="AG54" s="71">
        <f t="shared" si="29"/>
        <v>-495.6285714285732</v>
      </c>
      <c r="AH54" s="71">
        <f t="shared" si="25"/>
        <v>844.05889375248807</v>
      </c>
      <c r="AI54" s="35">
        <v>4</v>
      </c>
    </row>
    <row r="55" spans="1:35" x14ac:dyDescent="0.2">
      <c r="A55" s="30">
        <v>410</v>
      </c>
      <c r="B55" s="123" t="s">
        <v>109</v>
      </c>
      <c r="C55" s="62">
        <v>7.6950000000000003</v>
      </c>
      <c r="D55" s="28">
        <f t="shared" si="21"/>
        <v>646.38</v>
      </c>
      <c r="E55" s="28">
        <v>27400</v>
      </c>
      <c r="F55" s="28">
        <f t="shared" si="30"/>
        <v>11260.273972602741</v>
      </c>
      <c r="G55" s="64">
        <f t="shared" si="26"/>
        <v>10134.246575342468</v>
      </c>
      <c r="H55" s="27" t="s">
        <v>19</v>
      </c>
      <c r="I55" s="28">
        <f t="shared" si="27"/>
        <v>10780.626575342467</v>
      </c>
      <c r="J55" s="28" t="s">
        <v>6</v>
      </c>
      <c r="K55" s="28">
        <v>11352</v>
      </c>
      <c r="L55" s="29" t="str">
        <f t="shared" si="23"/>
        <v>Project Prepay 40</v>
      </c>
      <c r="M55" s="43">
        <f t="shared" si="34"/>
        <v>0</v>
      </c>
      <c r="N55" s="43">
        <f t="shared" si="36"/>
        <v>0</v>
      </c>
      <c r="O55" s="43">
        <f t="shared" si="37"/>
        <v>0</v>
      </c>
      <c r="P55" s="43">
        <f t="shared" si="39"/>
        <v>0</v>
      </c>
      <c r="Q55" s="43">
        <f t="shared" si="39"/>
        <v>0</v>
      </c>
      <c r="R55" s="43">
        <f t="shared" si="38"/>
        <v>0</v>
      </c>
      <c r="S55" s="43">
        <f t="shared" si="40"/>
        <v>0</v>
      </c>
      <c r="T55" s="43">
        <f t="shared" si="40"/>
        <v>1</v>
      </c>
      <c r="U55" s="43">
        <f t="shared" si="40"/>
        <v>0</v>
      </c>
      <c r="V55" s="43">
        <f t="shared" si="40"/>
        <v>0</v>
      </c>
      <c r="W55" s="43">
        <f t="shared" si="40"/>
        <v>0</v>
      </c>
      <c r="X55" s="43">
        <f t="shared" si="40"/>
        <v>0</v>
      </c>
      <c r="Y55" s="43">
        <f t="shared" si="40"/>
        <v>0</v>
      </c>
      <c r="Z55" s="43">
        <f t="shared" si="40"/>
        <v>0</v>
      </c>
      <c r="AA55" s="43">
        <f t="shared" si="40"/>
        <v>0</v>
      </c>
      <c r="AB55" s="30" t="e">
        <f t="shared" si="40"/>
        <v>#N/A</v>
      </c>
      <c r="AC55" s="73">
        <f t="shared" si="20"/>
        <v>10780.626575342467</v>
      </c>
      <c r="AD55" s="70">
        <f t="array" ref="AD55">(PRODUCT(IF($AW$15:$BE$15=AI55,$AW$17:$BE$17)))</f>
        <v>0.9</v>
      </c>
      <c r="AE55" s="71">
        <f t="shared" si="28"/>
        <v>-571.37342465753318</v>
      </c>
      <c r="AF55" s="71">
        <f t="shared" si="24"/>
        <v>12389.237142857142</v>
      </c>
      <c r="AG55" s="71">
        <f t="shared" si="29"/>
        <v>1037.2371428571423</v>
      </c>
      <c r="AH55" s="71">
        <f t="shared" si="25"/>
        <v>1608.6105675146755</v>
      </c>
      <c r="AI55" s="35">
        <v>2</v>
      </c>
    </row>
    <row r="56" spans="1:35" x14ac:dyDescent="0.2">
      <c r="A56" s="30">
        <v>409</v>
      </c>
      <c r="B56" s="123" t="s">
        <v>110</v>
      </c>
      <c r="C56" s="62">
        <v>6.4</v>
      </c>
      <c r="D56" s="28">
        <f t="shared" si="21"/>
        <v>537.6</v>
      </c>
      <c r="E56" s="28">
        <v>25300</v>
      </c>
      <c r="F56" s="28">
        <f t="shared" si="30"/>
        <v>10571.030640668523</v>
      </c>
      <c r="G56" s="64">
        <f t="shared" si="26"/>
        <v>9936.768802228411</v>
      </c>
      <c r="H56" s="27" t="s">
        <v>19</v>
      </c>
      <c r="I56" s="28">
        <f t="shared" si="27"/>
        <v>10474.368802228411</v>
      </c>
      <c r="J56" s="28" t="s">
        <v>4</v>
      </c>
      <c r="K56" s="28">
        <v>11408</v>
      </c>
      <c r="L56" s="29" t="str">
        <f t="shared" si="23"/>
        <v>Project Prepay 41</v>
      </c>
      <c r="M56" s="43">
        <f t="shared" si="34"/>
        <v>0</v>
      </c>
      <c r="N56" s="43">
        <f t="shared" si="36"/>
        <v>0</v>
      </c>
      <c r="O56" s="43">
        <f t="shared" si="37"/>
        <v>0</v>
      </c>
      <c r="P56" s="43">
        <f t="shared" si="39"/>
        <v>0</v>
      </c>
      <c r="Q56" s="43">
        <f t="shared" si="39"/>
        <v>0</v>
      </c>
      <c r="R56" s="43">
        <f t="shared" si="38"/>
        <v>0</v>
      </c>
      <c r="S56" s="43">
        <f t="shared" si="40"/>
        <v>0</v>
      </c>
      <c r="T56" s="43">
        <f t="shared" si="40"/>
        <v>0</v>
      </c>
      <c r="U56" s="43">
        <f t="shared" si="40"/>
        <v>0</v>
      </c>
      <c r="V56" s="43">
        <f t="shared" si="40"/>
        <v>1</v>
      </c>
      <c r="W56" s="43">
        <f t="shared" si="40"/>
        <v>0</v>
      </c>
      <c r="X56" s="43">
        <f t="shared" si="40"/>
        <v>0</v>
      </c>
      <c r="Y56" s="43">
        <f t="shared" si="40"/>
        <v>0</v>
      </c>
      <c r="Z56" s="43">
        <f t="shared" si="40"/>
        <v>0</v>
      </c>
      <c r="AA56" s="43">
        <f t="shared" si="40"/>
        <v>0</v>
      </c>
      <c r="AB56" s="30" t="e">
        <f t="shared" si="40"/>
        <v>#N/A</v>
      </c>
      <c r="AC56" s="73">
        <f t="shared" si="20"/>
        <v>10474.368802228411</v>
      </c>
      <c r="AD56" s="70">
        <f t="array" ref="AD56">(PRODUCT(IF($AW$15:$BE$15=AI56,$AW$17:$BE$17)))</f>
        <v>0.94</v>
      </c>
      <c r="AE56" s="71">
        <f t="shared" si="28"/>
        <v>-933.63119777158863</v>
      </c>
      <c r="AF56" s="71">
        <f t="shared" si="24"/>
        <v>11380.457142857143</v>
      </c>
      <c r="AG56" s="71">
        <f t="shared" si="29"/>
        <v>-27.542857142856519</v>
      </c>
      <c r="AH56" s="71">
        <f t="shared" si="25"/>
        <v>906.08834062873211</v>
      </c>
      <c r="AI56" s="35">
        <v>4</v>
      </c>
    </row>
    <row r="57" spans="1:35" x14ac:dyDescent="0.2">
      <c r="A57" s="30">
        <v>408</v>
      </c>
      <c r="B57" s="123" t="s">
        <v>111</v>
      </c>
      <c r="C57" s="62">
        <v>3.05</v>
      </c>
      <c r="D57" s="28">
        <f t="shared" si="21"/>
        <v>256.2</v>
      </c>
      <c r="E57" s="28">
        <v>15600</v>
      </c>
      <c r="F57" s="28">
        <f t="shared" si="30"/>
        <v>6802.3255813953492</v>
      </c>
      <c r="G57" s="64">
        <f t="shared" si="26"/>
        <v>7074.4186046511632</v>
      </c>
      <c r="H57" s="27" t="s">
        <v>19</v>
      </c>
      <c r="I57" s="28">
        <f t="shared" si="27"/>
        <v>7330.618604651163</v>
      </c>
      <c r="J57" s="28" t="s">
        <v>6</v>
      </c>
      <c r="K57" s="28">
        <v>9904</v>
      </c>
      <c r="L57" s="29" t="str">
        <f t="shared" si="23"/>
        <v>Project Prepay 42</v>
      </c>
      <c r="M57" s="43">
        <f t="shared" si="34"/>
        <v>0</v>
      </c>
      <c r="N57" s="43">
        <f t="shared" si="36"/>
        <v>0</v>
      </c>
      <c r="O57" s="43">
        <f t="shared" si="37"/>
        <v>0</v>
      </c>
      <c r="P57" s="43">
        <f t="shared" si="39"/>
        <v>0</v>
      </c>
      <c r="Q57" s="43">
        <f t="shared" si="39"/>
        <v>0</v>
      </c>
      <c r="R57" s="43">
        <f t="shared" si="38"/>
        <v>0</v>
      </c>
      <c r="S57" s="43">
        <f t="shared" si="40"/>
        <v>0</v>
      </c>
      <c r="T57" s="43">
        <f t="shared" si="40"/>
        <v>0</v>
      </c>
      <c r="U57" s="43">
        <f t="shared" si="40"/>
        <v>1</v>
      </c>
      <c r="V57" s="43">
        <f t="shared" si="40"/>
        <v>0</v>
      </c>
      <c r="W57" s="43">
        <f t="shared" si="40"/>
        <v>0</v>
      </c>
      <c r="X57" s="43">
        <f t="shared" si="40"/>
        <v>0</v>
      </c>
      <c r="Y57" s="43">
        <f t="shared" si="40"/>
        <v>0</v>
      </c>
      <c r="Z57" s="43">
        <f t="shared" si="40"/>
        <v>0</v>
      </c>
      <c r="AA57" s="43">
        <f t="shared" si="40"/>
        <v>0</v>
      </c>
      <c r="AB57" s="30" t="e">
        <f t="shared" si="40"/>
        <v>#N/A</v>
      </c>
      <c r="AC57" s="73">
        <f t="shared" si="20"/>
        <v>7330.618604651163</v>
      </c>
      <c r="AD57" s="70">
        <f t="array" ref="AD57">(PRODUCT(IF($AW$15:$BE$15=AI57,$AW$17:$BE$17)))</f>
        <v>1.04</v>
      </c>
      <c r="AE57" s="71">
        <f t="shared" si="28"/>
        <v>-2573.381395348837</v>
      </c>
      <c r="AF57" s="71">
        <f t="shared" si="24"/>
        <v>6941.9142857142851</v>
      </c>
      <c r="AG57" s="71">
        <f t="shared" si="29"/>
        <v>-2962.0857142857149</v>
      </c>
      <c r="AH57" s="71">
        <f t="shared" si="25"/>
        <v>-388.70431893687783</v>
      </c>
      <c r="AI57" s="35">
        <v>3</v>
      </c>
    </row>
    <row r="58" spans="1:35" x14ac:dyDescent="0.2">
      <c r="A58" s="30">
        <v>407</v>
      </c>
      <c r="B58" s="123" t="s">
        <v>112</v>
      </c>
      <c r="C58" s="62">
        <v>6.3</v>
      </c>
      <c r="D58" s="28">
        <f t="shared" si="21"/>
        <v>529.20000000000005</v>
      </c>
      <c r="E58" s="28">
        <v>15700</v>
      </c>
      <c r="F58" s="28">
        <f t="shared" si="30"/>
        <v>6559.8885793871868</v>
      </c>
      <c r="G58" s="64">
        <f t="shared" si="26"/>
        <v>6166.2952646239555</v>
      </c>
      <c r="H58" s="27" t="s">
        <v>19</v>
      </c>
      <c r="I58" s="28">
        <f t="shared" si="27"/>
        <v>6695.4952646239553</v>
      </c>
      <c r="J58" s="28" t="s">
        <v>4</v>
      </c>
      <c r="K58" s="28">
        <v>7370</v>
      </c>
      <c r="L58" s="29" t="str">
        <f t="shared" si="23"/>
        <v>Project Prepay 43</v>
      </c>
      <c r="M58" s="43">
        <f t="shared" si="34"/>
        <v>0</v>
      </c>
      <c r="N58" s="43">
        <f t="shared" si="36"/>
        <v>0</v>
      </c>
      <c r="O58" s="43">
        <f t="shared" si="37"/>
        <v>0</v>
      </c>
      <c r="P58" s="43">
        <f t="shared" si="39"/>
        <v>0</v>
      </c>
      <c r="Q58" s="43">
        <f t="shared" si="39"/>
        <v>0</v>
      </c>
      <c r="R58" s="43">
        <f t="shared" si="38"/>
        <v>0</v>
      </c>
      <c r="S58" s="43">
        <f t="shared" si="40"/>
        <v>0</v>
      </c>
      <c r="T58" s="43">
        <f t="shared" si="40"/>
        <v>0</v>
      </c>
      <c r="U58" s="43">
        <f t="shared" si="40"/>
        <v>0</v>
      </c>
      <c r="V58" s="43">
        <f t="shared" si="40"/>
        <v>1</v>
      </c>
      <c r="W58" s="43">
        <f t="shared" si="40"/>
        <v>0</v>
      </c>
      <c r="X58" s="43">
        <f t="shared" si="40"/>
        <v>0</v>
      </c>
      <c r="Y58" s="43">
        <f t="shared" si="40"/>
        <v>0</v>
      </c>
      <c r="Z58" s="43">
        <f t="shared" si="40"/>
        <v>0</v>
      </c>
      <c r="AA58" s="43">
        <f t="shared" si="40"/>
        <v>0</v>
      </c>
      <c r="AB58" s="30" t="e">
        <f t="shared" si="40"/>
        <v>#N/A</v>
      </c>
      <c r="AC58" s="73">
        <f t="shared" si="20"/>
        <v>6695.4952646239553</v>
      </c>
      <c r="AD58" s="70">
        <f t="array" ref="AD58">(PRODUCT(IF($AW$15:$BE$15=AI58,$AW$17:$BE$17)))</f>
        <v>0.94</v>
      </c>
      <c r="AE58" s="71">
        <f t="shared" si="28"/>
        <v>-674.50473537604466</v>
      </c>
      <c r="AF58" s="71">
        <f t="shared" si="24"/>
        <v>7257.7714285714292</v>
      </c>
      <c r="AG58" s="71">
        <f t="shared" si="29"/>
        <v>-112.22857142857083</v>
      </c>
      <c r="AH58" s="71">
        <f t="shared" si="25"/>
        <v>562.27616394747383</v>
      </c>
      <c r="AI58" s="35">
        <v>4</v>
      </c>
    </row>
    <row r="59" spans="1:35" x14ac:dyDescent="0.2">
      <c r="A59" s="30">
        <v>406</v>
      </c>
      <c r="B59" s="123" t="s">
        <v>113</v>
      </c>
      <c r="C59" s="62">
        <v>4.5</v>
      </c>
      <c r="D59" s="28">
        <f t="shared" si="21"/>
        <v>378</v>
      </c>
      <c r="E59" s="28">
        <v>17700</v>
      </c>
      <c r="F59" s="28">
        <f t="shared" si="30"/>
        <v>7395.5431754874644</v>
      </c>
      <c r="G59" s="64">
        <f t="shared" si="26"/>
        <v>6951.8105849582162</v>
      </c>
      <c r="H59" s="27" t="s">
        <v>19</v>
      </c>
      <c r="I59" s="28">
        <f t="shared" si="27"/>
        <v>7329.8105849582162</v>
      </c>
      <c r="J59" s="28" t="s">
        <v>6</v>
      </c>
      <c r="K59" s="28">
        <v>6283</v>
      </c>
      <c r="L59" s="29" t="str">
        <f t="shared" si="23"/>
        <v>Project Prepay 44</v>
      </c>
      <c r="M59" s="43">
        <f t="shared" si="34"/>
        <v>0</v>
      </c>
      <c r="N59" s="43">
        <f t="shared" si="36"/>
        <v>0</v>
      </c>
      <c r="O59" s="43">
        <f t="shared" si="37"/>
        <v>0</v>
      </c>
      <c r="P59" s="43">
        <f t="shared" si="39"/>
        <v>0</v>
      </c>
      <c r="Q59" s="43">
        <f t="shared" si="39"/>
        <v>0</v>
      </c>
      <c r="R59" s="43">
        <f t="shared" si="38"/>
        <v>0</v>
      </c>
      <c r="S59" s="43">
        <f t="shared" si="40"/>
        <v>0</v>
      </c>
      <c r="T59" s="43">
        <f t="shared" si="40"/>
        <v>0</v>
      </c>
      <c r="U59" s="43">
        <f t="shared" si="40"/>
        <v>0</v>
      </c>
      <c r="V59" s="43">
        <f t="shared" si="40"/>
        <v>1</v>
      </c>
      <c r="W59" s="43">
        <f t="shared" si="40"/>
        <v>0</v>
      </c>
      <c r="X59" s="43">
        <f t="shared" si="40"/>
        <v>0</v>
      </c>
      <c r="Y59" s="43">
        <f t="shared" si="40"/>
        <v>0</v>
      </c>
      <c r="Z59" s="43">
        <f t="shared" si="40"/>
        <v>0</v>
      </c>
      <c r="AA59" s="43">
        <f t="shared" si="40"/>
        <v>0</v>
      </c>
      <c r="AB59" s="30" t="e">
        <f t="shared" si="40"/>
        <v>#N/A</v>
      </c>
      <c r="AC59" s="73">
        <f t="shared" si="20"/>
        <v>7329.8105849582162</v>
      </c>
      <c r="AD59" s="70">
        <f t="array" ref="AD59">(PRODUCT(IF($AW$15:$BE$15=AI59,$AW$17:$BE$17)))</f>
        <v>0.94</v>
      </c>
      <c r="AE59" s="71">
        <f t="shared" si="28"/>
        <v>1046.8105849582162</v>
      </c>
      <c r="AF59" s="71">
        <f t="shared" si="24"/>
        <v>7963.7142857142853</v>
      </c>
      <c r="AG59" s="71">
        <f t="shared" si="29"/>
        <v>1680.7142857142853</v>
      </c>
      <c r="AH59" s="71">
        <f t="shared" si="25"/>
        <v>633.90370075606916</v>
      </c>
      <c r="AI59" s="35">
        <v>4</v>
      </c>
    </row>
    <row r="60" spans="1:35" x14ac:dyDescent="0.2">
      <c r="A60" s="30">
        <v>405</v>
      </c>
      <c r="B60" s="123" t="s">
        <v>114</v>
      </c>
      <c r="C60" s="62">
        <v>5.7949999999999999</v>
      </c>
      <c r="D60" s="28">
        <f t="shared" si="21"/>
        <v>486.78</v>
      </c>
      <c r="E60" s="28">
        <v>26000</v>
      </c>
      <c r="F60" s="28">
        <f t="shared" si="30"/>
        <v>10512.129380053908</v>
      </c>
      <c r="G60" s="64">
        <f t="shared" si="26"/>
        <v>9040.4312668463608</v>
      </c>
      <c r="H60" s="27" t="s">
        <v>19</v>
      </c>
      <c r="I60" s="28">
        <f t="shared" si="27"/>
        <v>9527.2112668463615</v>
      </c>
      <c r="J60" s="28" t="s">
        <v>3</v>
      </c>
      <c r="K60" s="28">
        <v>7330</v>
      </c>
      <c r="L60" s="29" t="str">
        <f t="shared" si="23"/>
        <v>Project Prepay 45</v>
      </c>
      <c r="M60" s="43">
        <f t="shared" si="34"/>
        <v>0</v>
      </c>
      <c r="N60" s="43">
        <f t="shared" si="36"/>
        <v>0</v>
      </c>
      <c r="O60" s="43">
        <f t="shared" si="37"/>
        <v>0</v>
      </c>
      <c r="P60" s="43">
        <f t="shared" si="39"/>
        <v>0</v>
      </c>
      <c r="Q60" s="43">
        <f t="shared" si="39"/>
        <v>0</v>
      </c>
      <c r="R60" s="43">
        <f t="shared" si="38"/>
        <v>0</v>
      </c>
      <c r="S60" s="43">
        <f t="shared" si="40"/>
        <v>0</v>
      </c>
      <c r="T60" s="43">
        <f t="shared" si="40"/>
        <v>0</v>
      </c>
      <c r="U60" s="43">
        <f t="shared" si="40"/>
        <v>0</v>
      </c>
      <c r="V60" s="43">
        <f t="shared" si="40"/>
        <v>0</v>
      </c>
      <c r="W60" s="43">
        <f t="shared" si="40"/>
        <v>1</v>
      </c>
      <c r="X60" s="43">
        <f t="shared" si="40"/>
        <v>0</v>
      </c>
      <c r="Y60" s="43">
        <f t="shared" si="40"/>
        <v>0</v>
      </c>
      <c r="Z60" s="43">
        <f t="shared" si="40"/>
        <v>0</v>
      </c>
      <c r="AA60" s="43">
        <f t="shared" si="40"/>
        <v>0</v>
      </c>
      <c r="AB60" s="30" t="e">
        <f t="shared" si="40"/>
        <v>#N/A</v>
      </c>
      <c r="AC60" s="73">
        <f t="shared" si="20"/>
        <v>9527.2112668463615</v>
      </c>
      <c r="AD60" s="70">
        <f t="array" ref="AD60">(PRODUCT(IF($AW$15:$BE$15=AI60,$AW$17:$BE$17)))</f>
        <v>0.86</v>
      </c>
      <c r="AE60" s="71">
        <f t="shared" si="28"/>
        <v>2197.2112668463615</v>
      </c>
      <c r="AF60" s="71">
        <f t="shared" si="24"/>
        <v>11629.637142857144</v>
      </c>
      <c r="AG60" s="71">
        <f t="shared" si="29"/>
        <v>4299.6371428571438</v>
      </c>
      <c r="AH60" s="71">
        <f t="shared" si="25"/>
        <v>2102.4258760107823</v>
      </c>
      <c r="AI60" s="35">
        <v>5</v>
      </c>
    </row>
    <row r="61" spans="1:35" s="9" customFormat="1" x14ac:dyDescent="0.2">
      <c r="A61" s="30">
        <v>404</v>
      </c>
      <c r="B61" s="123" t="s">
        <v>115</v>
      </c>
      <c r="C61" s="62">
        <v>4.2699999999999996</v>
      </c>
      <c r="D61" s="28">
        <f t="shared" si="21"/>
        <v>358.67999999999995</v>
      </c>
      <c r="E61" s="28">
        <v>24610</v>
      </c>
      <c r="F61" s="28">
        <f t="shared" si="30"/>
        <v>10731.104651162792</v>
      </c>
      <c r="G61" s="64">
        <f t="shared" si="26"/>
        <v>11160.348837209303</v>
      </c>
      <c r="H61" s="27" t="s">
        <v>19</v>
      </c>
      <c r="I61" s="28">
        <f t="shared" si="27"/>
        <v>11519.028837209304</v>
      </c>
      <c r="J61" s="28" t="s">
        <v>5</v>
      </c>
      <c r="K61" s="28">
        <v>10698.48</v>
      </c>
      <c r="L61" s="29" t="str">
        <f t="shared" si="23"/>
        <v>Project Prepay 46</v>
      </c>
      <c r="M61" s="43">
        <f t="shared" si="34"/>
        <v>0</v>
      </c>
      <c r="N61" s="43">
        <f t="shared" si="36"/>
        <v>0</v>
      </c>
      <c r="O61" s="43">
        <f t="shared" si="37"/>
        <v>0</v>
      </c>
      <c r="P61" s="43">
        <f t="shared" si="39"/>
        <v>0</v>
      </c>
      <c r="Q61" s="43">
        <f t="shared" si="39"/>
        <v>0</v>
      </c>
      <c r="R61" s="43">
        <f t="shared" si="38"/>
        <v>0</v>
      </c>
      <c r="S61" s="43">
        <f t="shared" si="40"/>
        <v>0</v>
      </c>
      <c r="T61" s="43">
        <f t="shared" si="40"/>
        <v>0</v>
      </c>
      <c r="U61" s="43">
        <f t="shared" si="40"/>
        <v>1</v>
      </c>
      <c r="V61" s="43">
        <f t="shared" si="40"/>
        <v>0</v>
      </c>
      <c r="W61" s="43">
        <f t="shared" si="40"/>
        <v>0</v>
      </c>
      <c r="X61" s="43">
        <f t="shared" si="40"/>
        <v>0</v>
      </c>
      <c r="Y61" s="43">
        <f t="shared" si="40"/>
        <v>0</v>
      </c>
      <c r="Z61" s="43">
        <f t="shared" si="40"/>
        <v>0</v>
      </c>
      <c r="AA61" s="43">
        <f t="shared" si="40"/>
        <v>0</v>
      </c>
      <c r="AB61" s="42" t="e">
        <f t="shared" si="40"/>
        <v>#N/A</v>
      </c>
      <c r="AC61" s="73">
        <f t="shared" si="20"/>
        <v>11519.028837209304</v>
      </c>
      <c r="AD61" s="70">
        <f t="array" ref="AD61">(PRODUCT(IF($AW$15:$BE$15=AI61,$AW$17:$BE$17)))</f>
        <v>1.04</v>
      </c>
      <c r="AE61" s="71">
        <f t="shared" si="28"/>
        <v>820.54883720930411</v>
      </c>
      <c r="AF61" s="71">
        <f t="shared" si="24"/>
        <v>10905.822857142859</v>
      </c>
      <c r="AG61" s="71">
        <f t="shared" si="29"/>
        <v>207.34285714285943</v>
      </c>
      <c r="AH61" s="71">
        <f t="shared" si="25"/>
        <v>-613.20598006644468</v>
      </c>
      <c r="AI61" s="35">
        <v>3</v>
      </c>
    </row>
    <row r="62" spans="1:35" x14ac:dyDescent="0.2">
      <c r="A62" s="30">
        <v>403</v>
      </c>
      <c r="B62" s="123" t="s">
        <v>116</v>
      </c>
      <c r="C62" s="62">
        <v>7.98</v>
      </c>
      <c r="D62" s="28">
        <f t="shared" si="21"/>
        <v>670.31999999999994</v>
      </c>
      <c r="E62" s="28">
        <v>27000</v>
      </c>
      <c r="F62" s="28">
        <f t="shared" si="30"/>
        <v>11095.890410958904</v>
      </c>
      <c r="G62" s="64">
        <f t="shared" si="26"/>
        <v>9986.301369863013</v>
      </c>
      <c r="H62" s="27" t="s">
        <v>19</v>
      </c>
      <c r="I62" s="28">
        <f t="shared" si="27"/>
        <v>10656.621369863013</v>
      </c>
      <c r="J62" s="28" t="s">
        <v>3</v>
      </c>
      <c r="K62" s="28">
        <v>11582</v>
      </c>
      <c r="L62" s="29" t="str">
        <f t="shared" si="23"/>
        <v>Project Prepay 47</v>
      </c>
      <c r="M62" s="43">
        <f t="shared" si="34"/>
        <v>0</v>
      </c>
      <c r="N62" s="43">
        <f t="shared" si="36"/>
        <v>0</v>
      </c>
      <c r="O62" s="43">
        <f t="shared" si="37"/>
        <v>0</v>
      </c>
      <c r="P62" s="43">
        <f t="shared" si="39"/>
        <v>0</v>
      </c>
      <c r="Q62" s="43">
        <f t="shared" si="39"/>
        <v>0</v>
      </c>
      <c r="R62" s="43">
        <f t="shared" si="38"/>
        <v>0</v>
      </c>
      <c r="S62" s="43">
        <f t="shared" si="40"/>
        <v>0</v>
      </c>
      <c r="T62" s="43">
        <f t="shared" si="40"/>
        <v>1</v>
      </c>
      <c r="U62" s="43">
        <f t="shared" si="40"/>
        <v>0</v>
      </c>
      <c r="V62" s="43">
        <f t="shared" si="40"/>
        <v>0</v>
      </c>
      <c r="W62" s="43">
        <f t="shared" si="40"/>
        <v>0</v>
      </c>
      <c r="X62" s="43">
        <f t="shared" si="40"/>
        <v>0</v>
      </c>
      <c r="Y62" s="43">
        <f t="shared" si="40"/>
        <v>0</v>
      </c>
      <c r="Z62" s="43">
        <f t="shared" si="40"/>
        <v>0</v>
      </c>
      <c r="AA62" s="43">
        <f t="shared" si="40"/>
        <v>0</v>
      </c>
      <c r="AB62" s="30" t="e">
        <f t="shared" si="40"/>
        <v>#N/A</v>
      </c>
      <c r="AC62" s="73">
        <f t="shared" si="20"/>
        <v>10656.621369863013</v>
      </c>
      <c r="AD62" s="70">
        <f t="array" ref="AD62">(PRODUCT(IF($AW$15:$BE$15=AI62,$AW$17:$BE$17)))</f>
        <v>0.9</v>
      </c>
      <c r="AE62" s="71">
        <f t="shared" si="28"/>
        <v>-925.37863013698734</v>
      </c>
      <c r="AF62" s="71">
        <f t="shared" si="24"/>
        <v>12241.74857142857</v>
      </c>
      <c r="AG62" s="71">
        <f t="shared" si="29"/>
        <v>659.74857142857036</v>
      </c>
      <c r="AH62" s="71">
        <f t="shared" si="25"/>
        <v>1585.1272015655577</v>
      </c>
      <c r="AI62" s="35">
        <v>2</v>
      </c>
    </row>
    <row r="63" spans="1:35" x14ac:dyDescent="0.2">
      <c r="A63" s="30">
        <v>402</v>
      </c>
      <c r="B63" s="123" t="s">
        <v>117</v>
      </c>
      <c r="C63" s="62">
        <v>7.36</v>
      </c>
      <c r="D63" s="28">
        <f t="shared" si="21"/>
        <v>618.24</v>
      </c>
      <c r="E63" s="28">
        <v>28700</v>
      </c>
      <c r="F63" s="28">
        <f t="shared" si="30"/>
        <v>12514.534883720931</v>
      </c>
      <c r="G63" s="64">
        <f t="shared" si="26"/>
        <v>13015.116279069769</v>
      </c>
      <c r="H63" s="27" t="s">
        <v>19</v>
      </c>
      <c r="I63" s="28">
        <f t="shared" si="27"/>
        <v>13633.356279069769</v>
      </c>
      <c r="J63" s="28" t="s">
        <v>6</v>
      </c>
      <c r="K63" s="28">
        <v>11274.78</v>
      </c>
      <c r="L63" s="29" t="str">
        <f t="shared" si="23"/>
        <v>Project Prepay 48</v>
      </c>
      <c r="M63" s="43">
        <f t="shared" si="34"/>
        <v>0</v>
      </c>
      <c r="N63" s="43">
        <f t="shared" si="36"/>
        <v>0</v>
      </c>
      <c r="O63" s="43">
        <f t="shared" si="37"/>
        <v>0</v>
      </c>
      <c r="P63" s="43">
        <f t="shared" si="39"/>
        <v>0</v>
      </c>
      <c r="Q63" s="43">
        <f t="shared" si="39"/>
        <v>0</v>
      </c>
      <c r="R63" s="43">
        <f t="shared" si="38"/>
        <v>0</v>
      </c>
      <c r="S63" s="43">
        <f t="shared" si="40"/>
        <v>0</v>
      </c>
      <c r="T63" s="43">
        <f t="shared" si="40"/>
        <v>0</v>
      </c>
      <c r="U63" s="43">
        <f t="shared" si="40"/>
        <v>1</v>
      </c>
      <c r="V63" s="43">
        <f t="shared" si="40"/>
        <v>0</v>
      </c>
      <c r="W63" s="43">
        <f t="shared" si="40"/>
        <v>0</v>
      </c>
      <c r="X63" s="43">
        <f t="shared" si="40"/>
        <v>0</v>
      </c>
      <c r="Y63" s="43">
        <f t="shared" si="40"/>
        <v>0</v>
      </c>
      <c r="Z63" s="43">
        <f t="shared" si="40"/>
        <v>0</v>
      </c>
      <c r="AA63" s="43">
        <f t="shared" si="40"/>
        <v>0</v>
      </c>
      <c r="AB63" s="30" t="e">
        <f t="shared" si="40"/>
        <v>#N/A</v>
      </c>
      <c r="AC63" s="73">
        <f t="shared" si="20"/>
        <v>13633.356279069769</v>
      </c>
      <c r="AD63" s="70">
        <f t="array" ref="AD63">(PRODUCT(IF($AW$15:$BE$15=AI63,$AW$17:$BE$17)))</f>
        <v>1.04</v>
      </c>
      <c r="AE63" s="71">
        <f t="shared" si="28"/>
        <v>2358.5762790697681</v>
      </c>
      <c r="AF63" s="71">
        <f t="shared" si="24"/>
        <v>12918.24</v>
      </c>
      <c r="AG63" s="71">
        <f t="shared" si="29"/>
        <v>1643.4599999999991</v>
      </c>
      <c r="AH63" s="71">
        <f t="shared" si="25"/>
        <v>-715.11627906976901</v>
      </c>
      <c r="AI63" s="35">
        <v>3</v>
      </c>
    </row>
    <row r="64" spans="1:35" x14ac:dyDescent="0.2">
      <c r="A64" s="30">
        <v>401</v>
      </c>
      <c r="B64" s="123" t="s">
        <v>118</v>
      </c>
      <c r="C64" s="62">
        <v>7.2450000000000001</v>
      </c>
      <c r="D64" s="28">
        <f t="shared" si="21"/>
        <v>608.58000000000004</v>
      </c>
      <c r="E64" s="28">
        <v>24300</v>
      </c>
      <c r="F64" s="28">
        <f t="shared" si="30"/>
        <v>10153.203342618384</v>
      </c>
      <c r="G64" s="64">
        <f t="shared" si="26"/>
        <v>9544.0111420612811</v>
      </c>
      <c r="H64" s="27" t="s">
        <v>19</v>
      </c>
      <c r="I64" s="28">
        <f t="shared" si="27"/>
        <v>10152.591142061281</v>
      </c>
      <c r="J64" s="28" t="s">
        <v>3</v>
      </c>
      <c r="K64" s="28">
        <v>13716</v>
      </c>
      <c r="L64" s="29" t="str">
        <f t="shared" si="23"/>
        <v>Project Prepay 49</v>
      </c>
      <c r="M64" s="43">
        <f t="shared" si="34"/>
        <v>0</v>
      </c>
      <c r="N64" s="43">
        <f t="shared" si="36"/>
        <v>0</v>
      </c>
      <c r="O64" s="43">
        <f t="shared" si="37"/>
        <v>0</v>
      </c>
      <c r="P64" s="43">
        <f t="shared" si="39"/>
        <v>0</v>
      </c>
      <c r="Q64" s="43">
        <f t="shared" si="39"/>
        <v>0</v>
      </c>
      <c r="R64" s="43">
        <f t="shared" si="38"/>
        <v>0</v>
      </c>
      <c r="S64" s="43">
        <f t="shared" ref="S64:AB73" si="41">($AI64=S$1)*1</f>
        <v>1</v>
      </c>
      <c r="T64" s="43">
        <f t="shared" si="41"/>
        <v>0</v>
      </c>
      <c r="U64" s="43">
        <f t="shared" si="41"/>
        <v>0</v>
      </c>
      <c r="V64" s="43">
        <f t="shared" si="41"/>
        <v>0</v>
      </c>
      <c r="W64" s="43">
        <f t="shared" si="41"/>
        <v>0</v>
      </c>
      <c r="X64" s="43">
        <f t="shared" si="41"/>
        <v>0</v>
      </c>
      <c r="Y64" s="43">
        <f t="shared" si="41"/>
        <v>0</v>
      </c>
      <c r="Z64" s="43">
        <f t="shared" si="41"/>
        <v>0</v>
      </c>
      <c r="AA64" s="43">
        <f t="shared" si="41"/>
        <v>0</v>
      </c>
      <c r="AB64" s="30" t="e">
        <f t="shared" si="41"/>
        <v>#N/A</v>
      </c>
      <c r="AC64" s="73">
        <f t="shared" si="20"/>
        <v>10152.591142061281</v>
      </c>
      <c r="AD64" s="70">
        <f t="array" ref="AD64">(PRODUCT(IF($AW$15:$BE$15=AI64,$AW$17:$BE$17)))</f>
        <v>0.94</v>
      </c>
      <c r="AE64" s="71">
        <f t="shared" si="28"/>
        <v>-3563.4088579387189</v>
      </c>
      <c r="AF64" s="71">
        <f t="shared" si="24"/>
        <v>11022.865714285716</v>
      </c>
      <c r="AG64" s="71">
        <f t="shared" si="29"/>
        <v>-2693.1342857142845</v>
      </c>
      <c r="AH64" s="71">
        <f t="shared" si="25"/>
        <v>870.27457222443445</v>
      </c>
      <c r="AI64" s="35">
        <v>1</v>
      </c>
    </row>
    <row r="65" spans="1:35" x14ac:dyDescent="0.2">
      <c r="A65" s="30">
        <v>400</v>
      </c>
      <c r="B65" s="123" t="s">
        <v>119</v>
      </c>
      <c r="C65" s="62">
        <v>4.41</v>
      </c>
      <c r="D65" s="28">
        <f t="shared" si="21"/>
        <v>370.44</v>
      </c>
      <c r="E65" s="28">
        <v>13500</v>
      </c>
      <c r="F65" s="28">
        <f t="shared" si="30"/>
        <v>5886.6279069767452</v>
      </c>
      <c r="G65" s="64">
        <f t="shared" si="26"/>
        <v>6122.0930232558148</v>
      </c>
      <c r="H65" s="27" t="s">
        <v>19</v>
      </c>
      <c r="I65" s="28">
        <f t="shared" si="27"/>
        <v>6492.5330232558144</v>
      </c>
      <c r="J65" s="28" t="s">
        <v>3</v>
      </c>
      <c r="K65" s="28">
        <v>10152.59</v>
      </c>
      <c r="L65" s="29" t="str">
        <f t="shared" si="23"/>
        <v>Project Prepay 50</v>
      </c>
      <c r="M65" s="43">
        <f t="shared" si="34"/>
        <v>0</v>
      </c>
      <c r="N65" s="43">
        <f t="shared" si="36"/>
        <v>0</v>
      </c>
      <c r="O65" s="43">
        <f t="shared" si="37"/>
        <v>0</v>
      </c>
      <c r="P65" s="43">
        <f t="shared" si="39"/>
        <v>0</v>
      </c>
      <c r="Q65" s="43">
        <f t="shared" si="39"/>
        <v>0</v>
      </c>
      <c r="R65" s="43">
        <f t="shared" si="38"/>
        <v>0</v>
      </c>
      <c r="S65" s="43">
        <f t="shared" si="41"/>
        <v>0</v>
      </c>
      <c r="T65" s="43">
        <f t="shared" si="41"/>
        <v>0</v>
      </c>
      <c r="U65" s="43">
        <f t="shared" si="41"/>
        <v>1</v>
      </c>
      <c r="V65" s="43">
        <f t="shared" si="41"/>
        <v>0</v>
      </c>
      <c r="W65" s="43">
        <f t="shared" si="41"/>
        <v>0</v>
      </c>
      <c r="X65" s="43">
        <f t="shared" si="41"/>
        <v>0</v>
      </c>
      <c r="Y65" s="43">
        <f t="shared" si="41"/>
        <v>0</v>
      </c>
      <c r="Z65" s="43">
        <f t="shared" si="41"/>
        <v>0</v>
      </c>
      <c r="AA65" s="43">
        <f t="shared" si="41"/>
        <v>0</v>
      </c>
      <c r="AB65" s="30" t="e">
        <f t="shared" si="41"/>
        <v>#N/A</v>
      </c>
      <c r="AC65" s="73">
        <f t="shared" si="20"/>
        <v>6492.5330232558144</v>
      </c>
      <c r="AD65" s="70">
        <f t="array" ref="AD65">(PRODUCT(IF($AW$15:$BE$15=AI65,$AW$17:$BE$17)))</f>
        <v>1.04</v>
      </c>
      <c r="AE65" s="71">
        <f t="shared" si="28"/>
        <v>-3660.0569767441857</v>
      </c>
      <c r="AF65" s="71">
        <f t="shared" si="24"/>
        <v>6156.1542857142849</v>
      </c>
      <c r="AG65" s="71">
        <f t="shared" si="29"/>
        <v>-3996.4357142857152</v>
      </c>
      <c r="AH65" s="71">
        <f t="shared" si="25"/>
        <v>-336.37873754152952</v>
      </c>
      <c r="AI65" s="35">
        <v>3</v>
      </c>
    </row>
    <row r="66" spans="1:35" x14ac:dyDescent="0.2">
      <c r="A66" s="30">
        <v>399</v>
      </c>
      <c r="B66" s="123" t="s">
        <v>120</v>
      </c>
      <c r="C66" s="62">
        <v>5.44</v>
      </c>
      <c r="D66" s="28">
        <f t="shared" si="21"/>
        <v>456.96000000000004</v>
      </c>
      <c r="E66" s="28">
        <v>21800</v>
      </c>
      <c r="F66" s="28">
        <f t="shared" si="30"/>
        <v>9108.6350974930356</v>
      </c>
      <c r="G66" s="64">
        <f t="shared" si="26"/>
        <v>8562.1169916434537</v>
      </c>
      <c r="H66" s="27" t="s">
        <v>19</v>
      </c>
      <c r="I66" s="28">
        <f t="shared" si="27"/>
        <v>9019.0769916434547</v>
      </c>
      <c r="J66" s="28" t="s">
        <v>6</v>
      </c>
      <c r="K66" s="28">
        <v>5672.67</v>
      </c>
      <c r="L66" s="29" t="str">
        <f t="shared" si="23"/>
        <v>Project Prepay 51</v>
      </c>
      <c r="M66" s="43">
        <f t="shared" si="34"/>
        <v>0</v>
      </c>
      <c r="N66" s="43">
        <f t="shared" si="36"/>
        <v>0</v>
      </c>
      <c r="O66" s="43">
        <f t="shared" si="37"/>
        <v>0</v>
      </c>
      <c r="P66" s="43">
        <f t="shared" si="39"/>
        <v>0</v>
      </c>
      <c r="Q66" s="43">
        <f t="shared" si="39"/>
        <v>0</v>
      </c>
      <c r="R66" s="43">
        <f t="shared" si="38"/>
        <v>0</v>
      </c>
      <c r="S66" s="43">
        <f t="shared" si="41"/>
        <v>0</v>
      </c>
      <c r="T66" s="43">
        <f t="shared" si="41"/>
        <v>0</v>
      </c>
      <c r="U66" s="43">
        <f t="shared" si="41"/>
        <v>0</v>
      </c>
      <c r="V66" s="43">
        <f t="shared" si="41"/>
        <v>0</v>
      </c>
      <c r="W66" s="43">
        <f t="shared" si="41"/>
        <v>0</v>
      </c>
      <c r="X66" s="43">
        <f t="shared" si="41"/>
        <v>0</v>
      </c>
      <c r="Y66" s="43">
        <f t="shared" si="41"/>
        <v>1</v>
      </c>
      <c r="Z66" s="43">
        <f t="shared" si="41"/>
        <v>0</v>
      </c>
      <c r="AA66" s="43">
        <f t="shared" si="41"/>
        <v>0</v>
      </c>
      <c r="AB66" s="30" t="e">
        <f t="shared" si="41"/>
        <v>#N/A</v>
      </c>
      <c r="AC66" s="73">
        <f t="shared" si="20"/>
        <v>9019.0769916434547</v>
      </c>
      <c r="AD66" s="70">
        <f t="array" ref="AD66">(PRODUCT(IF($AW$15:$BE$15=AI66,$AW$17:$BE$17)))</f>
        <v>0.94</v>
      </c>
      <c r="AE66" s="71">
        <f t="shared" si="28"/>
        <v>3346.4069916434546</v>
      </c>
      <c r="AF66" s="71">
        <f t="shared" si="24"/>
        <v>9799.8171428571441</v>
      </c>
      <c r="AG66" s="71">
        <f t="shared" si="29"/>
        <v>4127.147142857144</v>
      </c>
      <c r="AH66" s="71">
        <f t="shared" si="25"/>
        <v>780.74015121368939</v>
      </c>
      <c r="AI66" s="35">
        <v>7</v>
      </c>
    </row>
    <row r="67" spans="1:35" x14ac:dyDescent="0.2">
      <c r="A67" s="30">
        <v>398</v>
      </c>
      <c r="B67" s="123" t="s">
        <v>121</v>
      </c>
      <c r="C67" s="62">
        <v>10.029999999999999</v>
      </c>
      <c r="D67" s="28">
        <f t="shared" si="21"/>
        <v>842.52</v>
      </c>
      <c r="E67" s="28">
        <v>38700</v>
      </c>
      <c r="F67" s="28">
        <f t="shared" si="30"/>
        <v>15904.109589041096</v>
      </c>
      <c r="G67" s="64">
        <f t="shared" si="26"/>
        <v>14313.698630136987</v>
      </c>
      <c r="H67" s="27" t="s">
        <v>19</v>
      </c>
      <c r="I67" s="28">
        <f t="shared" si="27"/>
        <v>15156.218630136987</v>
      </c>
      <c r="J67" s="28" t="s">
        <v>3</v>
      </c>
      <c r="K67" s="28">
        <v>10391</v>
      </c>
      <c r="L67" s="29" t="str">
        <f t="shared" si="23"/>
        <v>Project Prepay 52</v>
      </c>
      <c r="M67" s="43">
        <f t="shared" si="34"/>
        <v>0</v>
      </c>
      <c r="N67" s="43">
        <f t="shared" si="36"/>
        <v>0</v>
      </c>
      <c r="O67" s="43">
        <f t="shared" si="37"/>
        <v>0</v>
      </c>
      <c r="P67" s="43">
        <f t="shared" si="39"/>
        <v>0</v>
      </c>
      <c r="Q67" s="43">
        <f t="shared" si="39"/>
        <v>0</v>
      </c>
      <c r="R67" s="43">
        <f t="shared" si="38"/>
        <v>0</v>
      </c>
      <c r="S67" s="43">
        <f t="shared" si="41"/>
        <v>0</v>
      </c>
      <c r="T67" s="43">
        <f t="shared" si="41"/>
        <v>1</v>
      </c>
      <c r="U67" s="43">
        <f t="shared" si="41"/>
        <v>0</v>
      </c>
      <c r="V67" s="43">
        <f t="shared" si="41"/>
        <v>0</v>
      </c>
      <c r="W67" s="43">
        <f t="shared" si="41"/>
        <v>0</v>
      </c>
      <c r="X67" s="43">
        <f t="shared" si="41"/>
        <v>0</v>
      </c>
      <c r="Y67" s="43">
        <f t="shared" si="41"/>
        <v>0</v>
      </c>
      <c r="Z67" s="43">
        <f t="shared" si="41"/>
        <v>0</v>
      </c>
      <c r="AA67" s="43">
        <f t="shared" si="41"/>
        <v>0</v>
      </c>
      <c r="AB67" s="30" t="e">
        <f t="shared" si="41"/>
        <v>#N/A</v>
      </c>
      <c r="AC67" s="73">
        <f t="shared" si="20"/>
        <v>15156.218630136987</v>
      </c>
      <c r="AD67" s="70">
        <f t="array" ref="AD67">(PRODUCT(IF($AW$15:$BE$15=AI67,$AW$17:$BE$17)))</f>
        <v>0.9</v>
      </c>
      <c r="AE67" s="71">
        <f t="shared" si="28"/>
        <v>4765.2186301369875</v>
      </c>
      <c r="AF67" s="71">
        <f t="shared" si="24"/>
        <v>17428.234285714287</v>
      </c>
      <c r="AG67" s="71">
        <f t="shared" si="29"/>
        <v>7037.2342857142867</v>
      </c>
      <c r="AH67" s="71">
        <f t="shared" si="25"/>
        <v>2272.0156555772992</v>
      </c>
      <c r="AI67" s="35">
        <v>2</v>
      </c>
    </row>
    <row r="68" spans="1:35" x14ac:dyDescent="0.2">
      <c r="A68" s="30">
        <v>397</v>
      </c>
      <c r="B68" s="123" t="s">
        <v>122</v>
      </c>
      <c r="C68" s="62">
        <v>8.5500000000000007</v>
      </c>
      <c r="D68" s="28">
        <f t="shared" si="21"/>
        <v>718.2</v>
      </c>
      <c r="E68" s="28">
        <v>38224</v>
      </c>
      <c r="F68" s="28">
        <f t="shared" si="30"/>
        <v>15708.49315068493</v>
      </c>
      <c r="G68" s="64">
        <f t="shared" si="26"/>
        <v>14137.643835616436</v>
      </c>
      <c r="H68" s="27" t="s">
        <v>19</v>
      </c>
      <c r="I68" s="28">
        <f t="shared" si="27"/>
        <v>14855.843835616437</v>
      </c>
      <c r="J68" s="28" t="s">
        <v>5</v>
      </c>
      <c r="K68" s="28">
        <v>16042.24</v>
      </c>
      <c r="L68" s="29" t="str">
        <f t="shared" si="23"/>
        <v>Project Prepay 53</v>
      </c>
      <c r="M68" s="43">
        <f t="shared" si="34"/>
        <v>0</v>
      </c>
      <c r="N68" s="43">
        <f t="shared" si="36"/>
        <v>0</v>
      </c>
      <c r="O68" s="43">
        <f t="shared" si="37"/>
        <v>0</v>
      </c>
      <c r="P68" s="43">
        <f t="shared" si="39"/>
        <v>0</v>
      </c>
      <c r="Q68" s="43">
        <f t="shared" si="39"/>
        <v>0</v>
      </c>
      <c r="R68" s="43">
        <f t="shared" si="38"/>
        <v>0</v>
      </c>
      <c r="S68" s="43">
        <f t="shared" si="41"/>
        <v>0</v>
      </c>
      <c r="T68" s="43">
        <f t="shared" si="41"/>
        <v>1</v>
      </c>
      <c r="U68" s="43">
        <f t="shared" si="41"/>
        <v>0</v>
      </c>
      <c r="V68" s="43">
        <f t="shared" si="41"/>
        <v>0</v>
      </c>
      <c r="W68" s="43">
        <f t="shared" si="41"/>
        <v>0</v>
      </c>
      <c r="X68" s="43">
        <f t="shared" si="41"/>
        <v>0</v>
      </c>
      <c r="Y68" s="43">
        <f t="shared" si="41"/>
        <v>0</v>
      </c>
      <c r="Z68" s="43">
        <f t="shared" si="41"/>
        <v>0</v>
      </c>
      <c r="AA68" s="43">
        <f t="shared" si="41"/>
        <v>0</v>
      </c>
      <c r="AB68" s="30" t="e">
        <f t="shared" si="41"/>
        <v>#N/A</v>
      </c>
      <c r="AC68" s="73">
        <f t="shared" si="20"/>
        <v>14855.843835616437</v>
      </c>
      <c r="AD68" s="70">
        <f t="array" ref="AD68">(PRODUCT(IF($AW$15:$BE$15=AI68,$AW$17:$BE$17)))</f>
        <v>0.9</v>
      </c>
      <c r="AE68" s="71">
        <f t="shared" si="28"/>
        <v>-1186.3961643835628</v>
      </c>
      <c r="AF68" s="71">
        <f t="shared" si="24"/>
        <v>17099.914285714287</v>
      </c>
      <c r="AG68" s="71">
        <f t="shared" si="29"/>
        <v>1057.6742857142872</v>
      </c>
      <c r="AH68" s="71">
        <f t="shared" si="25"/>
        <v>2244.07045009785</v>
      </c>
      <c r="AI68" s="35">
        <v>2</v>
      </c>
    </row>
    <row r="69" spans="1:35" x14ac:dyDescent="0.2">
      <c r="A69" s="30">
        <v>396</v>
      </c>
      <c r="B69" s="123" t="s">
        <v>123</v>
      </c>
      <c r="C69" s="62">
        <v>7.2</v>
      </c>
      <c r="D69" s="28">
        <f t="shared" si="21"/>
        <v>604.79999999999995</v>
      </c>
      <c r="E69" s="28">
        <v>33199.199999999997</v>
      </c>
      <c r="F69" s="28">
        <f t="shared" si="30"/>
        <v>13871.532033426183</v>
      </c>
      <c r="G69" s="64">
        <f t="shared" si="26"/>
        <v>13039.240111420611</v>
      </c>
      <c r="H69" s="27" t="s">
        <v>19</v>
      </c>
      <c r="I69" s="28">
        <f t="shared" si="27"/>
        <v>13644.040111420611</v>
      </c>
      <c r="J69" s="28" t="s">
        <v>5</v>
      </c>
      <c r="K69" s="28">
        <v>18245</v>
      </c>
      <c r="L69" s="29" t="str">
        <f t="shared" si="23"/>
        <v>Project Prepay 54</v>
      </c>
      <c r="M69" s="43">
        <f t="shared" si="34"/>
        <v>0</v>
      </c>
      <c r="N69" s="43">
        <f t="shared" si="36"/>
        <v>0</v>
      </c>
      <c r="O69" s="43">
        <f t="shared" si="37"/>
        <v>0</v>
      </c>
      <c r="P69" s="43">
        <f t="shared" si="39"/>
        <v>0</v>
      </c>
      <c r="Q69" s="43">
        <f t="shared" si="39"/>
        <v>0</v>
      </c>
      <c r="R69" s="43">
        <f t="shared" si="38"/>
        <v>0</v>
      </c>
      <c r="S69" s="43">
        <f t="shared" si="41"/>
        <v>0</v>
      </c>
      <c r="T69" s="43">
        <f t="shared" si="41"/>
        <v>0</v>
      </c>
      <c r="U69" s="43">
        <f t="shared" si="41"/>
        <v>0</v>
      </c>
      <c r="V69" s="43">
        <f t="shared" si="41"/>
        <v>1</v>
      </c>
      <c r="W69" s="43">
        <f t="shared" si="41"/>
        <v>0</v>
      </c>
      <c r="X69" s="43">
        <f t="shared" si="41"/>
        <v>0</v>
      </c>
      <c r="Y69" s="43">
        <f t="shared" si="41"/>
        <v>0</v>
      </c>
      <c r="Z69" s="43">
        <f t="shared" si="41"/>
        <v>0</v>
      </c>
      <c r="AA69" s="43">
        <f t="shared" si="41"/>
        <v>0</v>
      </c>
      <c r="AB69" s="30" t="e">
        <f t="shared" si="41"/>
        <v>#N/A</v>
      </c>
      <c r="AC69" s="73">
        <f t="shared" si="20"/>
        <v>13644.040111420611</v>
      </c>
      <c r="AD69" s="70">
        <f t="array" ref="AD69">(PRODUCT(IF($AW$15:$BE$15=AI69,$AW$17:$BE$17)))</f>
        <v>0.94</v>
      </c>
      <c r="AE69" s="71">
        <f t="shared" si="28"/>
        <v>-4600.9598885793894</v>
      </c>
      <c r="AF69" s="71">
        <f t="shared" si="24"/>
        <v>14833.028571428571</v>
      </c>
      <c r="AG69" s="71">
        <f t="shared" si="29"/>
        <v>-3411.971428571429</v>
      </c>
      <c r="AH69" s="71">
        <f t="shared" si="25"/>
        <v>1188.9884600079604</v>
      </c>
      <c r="AI69" s="35">
        <v>4</v>
      </c>
    </row>
    <row r="70" spans="1:35" x14ac:dyDescent="0.2">
      <c r="A70" s="30">
        <v>393</v>
      </c>
      <c r="B70" s="123" t="s">
        <v>124</v>
      </c>
      <c r="C70" s="62">
        <v>4.88</v>
      </c>
      <c r="D70" s="28">
        <f t="shared" si="21"/>
        <v>409.91999999999996</v>
      </c>
      <c r="E70" s="28">
        <v>22400</v>
      </c>
      <c r="F70" s="28">
        <f t="shared" si="30"/>
        <v>9205.4794520547948</v>
      </c>
      <c r="G70" s="64">
        <f t="shared" si="26"/>
        <v>8284.9315068493161</v>
      </c>
      <c r="H70" s="27" t="s">
        <v>19</v>
      </c>
      <c r="I70" s="28">
        <f t="shared" si="27"/>
        <v>8694.8515068493161</v>
      </c>
      <c r="J70" s="28" t="s">
        <v>3</v>
      </c>
      <c r="K70" s="28">
        <v>15745</v>
      </c>
      <c r="L70" s="29" t="str">
        <f t="shared" si="23"/>
        <v>Project Prepay 55</v>
      </c>
      <c r="M70" s="43">
        <f t="shared" si="34"/>
        <v>0</v>
      </c>
      <c r="N70" s="43">
        <f t="shared" si="36"/>
        <v>0</v>
      </c>
      <c r="O70" s="43">
        <f t="shared" si="37"/>
        <v>0</v>
      </c>
      <c r="P70" s="43">
        <f t="shared" si="39"/>
        <v>0</v>
      </c>
      <c r="Q70" s="43">
        <f t="shared" si="39"/>
        <v>0</v>
      </c>
      <c r="R70" s="43">
        <f t="shared" si="38"/>
        <v>0</v>
      </c>
      <c r="S70" s="43">
        <f t="shared" si="41"/>
        <v>0</v>
      </c>
      <c r="T70" s="43">
        <f t="shared" si="41"/>
        <v>1</v>
      </c>
      <c r="U70" s="43">
        <f t="shared" si="41"/>
        <v>0</v>
      </c>
      <c r="V70" s="43">
        <f t="shared" si="41"/>
        <v>0</v>
      </c>
      <c r="W70" s="43">
        <f t="shared" si="41"/>
        <v>0</v>
      </c>
      <c r="X70" s="43">
        <f t="shared" si="41"/>
        <v>0</v>
      </c>
      <c r="Y70" s="43">
        <f t="shared" si="41"/>
        <v>0</v>
      </c>
      <c r="Z70" s="43">
        <f t="shared" si="41"/>
        <v>0</v>
      </c>
      <c r="AA70" s="43">
        <f t="shared" si="41"/>
        <v>0</v>
      </c>
      <c r="AB70" s="30" t="e">
        <f t="shared" si="41"/>
        <v>#N/A</v>
      </c>
      <c r="AC70" s="73">
        <f t="shared" si="20"/>
        <v>8694.8515068493161</v>
      </c>
      <c r="AD70" s="70">
        <f t="array" ref="AD70">(PRODUCT(IF($AW$15:$BE$15=AI70,$AW$17:$BE$17)))</f>
        <v>0.9</v>
      </c>
      <c r="AE70" s="71">
        <f t="shared" si="28"/>
        <v>-7050.1484931506839</v>
      </c>
      <c r="AF70" s="71">
        <f t="shared" si="24"/>
        <v>10009.92</v>
      </c>
      <c r="AG70" s="71">
        <f t="shared" si="29"/>
        <v>-5735.08</v>
      </c>
      <c r="AH70" s="71">
        <f t="shared" si="25"/>
        <v>1315.0684931506839</v>
      </c>
      <c r="AI70" s="35">
        <v>2</v>
      </c>
    </row>
    <row r="71" spans="1:35" x14ac:dyDescent="0.2">
      <c r="A71" s="30">
        <v>392</v>
      </c>
      <c r="B71" s="123" t="s">
        <v>125</v>
      </c>
      <c r="C71" s="62">
        <v>7.32</v>
      </c>
      <c r="D71" s="28">
        <f t="shared" si="21"/>
        <v>614.88</v>
      </c>
      <c r="E71" s="28">
        <v>31200</v>
      </c>
      <c r="F71" s="28">
        <f t="shared" si="30"/>
        <v>13036.211699164345</v>
      </c>
      <c r="G71" s="64">
        <f t="shared" si="26"/>
        <v>12254.038997214484</v>
      </c>
      <c r="H71" s="27" t="s">
        <v>19</v>
      </c>
      <c r="I71" s="28">
        <f t="shared" si="27"/>
        <v>12868.918997214483</v>
      </c>
      <c r="J71" s="28" t="s">
        <v>4</v>
      </c>
      <c r="K71" s="28">
        <v>9207.69</v>
      </c>
      <c r="L71" s="29" t="str">
        <f t="shared" si="23"/>
        <v>Project Prepay 56</v>
      </c>
      <c r="M71" s="43">
        <f t="shared" si="34"/>
        <v>0</v>
      </c>
      <c r="N71" s="43">
        <f t="shared" si="36"/>
        <v>0</v>
      </c>
      <c r="O71" s="43">
        <f t="shared" si="37"/>
        <v>0</v>
      </c>
      <c r="P71" s="43">
        <f t="shared" si="39"/>
        <v>0</v>
      </c>
      <c r="Q71" s="43">
        <f t="shared" si="39"/>
        <v>0</v>
      </c>
      <c r="R71" s="43">
        <f t="shared" si="38"/>
        <v>0</v>
      </c>
      <c r="S71" s="43">
        <f t="shared" si="41"/>
        <v>1</v>
      </c>
      <c r="T71" s="43">
        <f t="shared" si="41"/>
        <v>0</v>
      </c>
      <c r="U71" s="43">
        <f t="shared" si="41"/>
        <v>0</v>
      </c>
      <c r="V71" s="43">
        <f t="shared" si="41"/>
        <v>0</v>
      </c>
      <c r="W71" s="43">
        <f t="shared" si="41"/>
        <v>0</v>
      </c>
      <c r="X71" s="43">
        <f t="shared" si="41"/>
        <v>0</v>
      </c>
      <c r="Y71" s="43">
        <f t="shared" si="41"/>
        <v>0</v>
      </c>
      <c r="Z71" s="43">
        <f t="shared" si="41"/>
        <v>0</v>
      </c>
      <c r="AA71" s="43">
        <f t="shared" si="41"/>
        <v>0</v>
      </c>
      <c r="AB71" s="30" t="e">
        <f t="shared" si="41"/>
        <v>#N/A</v>
      </c>
      <c r="AC71" s="73">
        <f t="shared" si="20"/>
        <v>12868.918997214483</v>
      </c>
      <c r="AD71" s="70">
        <f t="array" ref="AD71">(PRODUCT(IF($AW$15:$BE$15=AI71,$AW$17:$BE$17)))</f>
        <v>0.94</v>
      </c>
      <c r="AE71" s="71">
        <f t="shared" si="28"/>
        <v>3661.2289972144827</v>
      </c>
      <c r="AF71" s="71">
        <f t="shared" si="24"/>
        <v>13986.30857142857</v>
      </c>
      <c r="AG71" s="71">
        <f t="shared" si="29"/>
        <v>4778.6185714285693</v>
      </c>
      <c r="AH71" s="71">
        <f t="shared" si="25"/>
        <v>1117.3895742140867</v>
      </c>
      <c r="AI71" s="35">
        <v>1</v>
      </c>
    </row>
    <row r="72" spans="1:35" x14ac:dyDescent="0.2">
      <c r="A72" s="30">
        <v>391</v>
      </c>
      <c r="B72" s="123" t="s">
        <v>126</v>
      </c>
      <c r="C72" s="62">
        <v>6.1</v>
      </c>
      <c r="D72" s="28">
        <f t="shared" si="21"/>
        <v>512.4</v>
      </c>
      <c r="E72" s="28">
        <v>26000</v>
      </c>
      <c r="F72" s="28">
        <f t="shared" si="30"/>
        <v>10863.509749303621</v>
      </c>
      <c r="G72" s="64">
        <f t="shared" si="26"/>
        <v>10211.699164345404</v>
      </c>
      <c r="H72" s="27" t="s">
        <v>19</v>
      </c>
      <c r="I72" s="28">
        <f t="shared" si="27"/>
        <v>10724.099164345404</v>
      </c>
      <c r="J72" s="28" t="s">
        <v>5</v>
      </c>
      <c r="K72" s="28">
        <v>12155</v>
      </c>
      <c r="L72" s="29" t="str">
        <f t="shared" si="23"/>
        <v>Project Prepay 57</v>
      </c>
      <c r="M72" s="43">
        <f t="shared" si="34"/>
        <v>0</v>
      </c>
      <c r="N72" s="43">
        <f t="shared" si="36"/>
        <v>0</v>
      </c>
      <c r="O72" s="43">
        <f t="shared" si="37"/>
        <v>0</v>
      </c>
      <c r="P72" s="43">
        <f t="shared" si="39"/>
        <v>0</v>
      </c>
      <c r="Q72" s="43">
        <f t="shared" si="39"/>
        <v>0</v>
      </c>
      <c r="R72" s="43">
        <f t="shared" si="38"/>
        <v>0</v>
      </c>
      <c r="S72" s="43">
        <f t="shared" si="41"/>
        <v>0</v>
      </c>
      <c r="T72" s="43">
        <f t="shared" si="41"/>
        <v>0</v>
      </c>
      <c r="U72" s="43">
        <f t="shared" si="41"/>
        <v>0</v>
      </c>
      <c r="V72" s="43">
        <f t="shared" si="41"/>
        <v>1</v>
      </c>
      <c r="W72" s="43">
        <f t="shared" si="41"/>
        <v>0</v>
      </c>
      <c r="X72" s="43">
        <f t="shared" si="41"/>
        <v>0</v>
      </c>
      <c r="Y72" s="43">
        <f t="shared" si="41"/>
        <v>0</v>
      </c>
      <c r="Z72" s="43">
        <f t="shared" si="41"/>
        <v>0</v>
      </c>
      <c r="AA72" s="43">
        <f t="shared" si="41"/>
        <v>0</v>
      </c>
      <c r="AB72" s="30" t="e">
        <f t="shared" si="41"/>
        <v>#N/A</v>
      </c>
      <c r="AC72" s="73">
        <f t="shared" si="20"/>
        <v>10724.099164345404</v>
      </c>
      <c r="AD72" s="70">
        <f t="array" ref="AD72">(PRODUCT(IF($AW$15:$BE$15=AI72,$AW$17:$BE$17)))</f>
        <v>0.94</v>
      </c>
      <c r="AE72" s="71">
        <f t="shared" si="28"/>
        <v>-1430.9008356545964</v>
      </c>
      <c r="AF72" s="71">
        <f t="shared" si="24"/>
        <v>11655.257142857143</v>
      </c>
      <c r="AG72" s="71">
        <f t="shared" si="29"/>
        <v>-499.74285714285725</v>
      </c>
      <c r="AH72" s="71">
        <f t="shared" si="25"/>
        <v>931.1579785117392</v>
      </c>
      <c r="AI72" s="35">
        <v>4</v>
      </c>
    </row>
    <row r="73" spans="1:35" x14ac:dyDescent="0.2">
      <c r="A73" s="30">
        <v>390</v>
      </c>
      <c r="B73" s="123" t="s">
        <v>127</v>
      </c>
      <c r="C73" s="62">
        <v>10.8</v>
      </c>
      <c r="D73" s="28">
        <f t="shared" si="21"/>
        <v>907.2</v>
      </c>
      <c r="E73" s="28">
        <v>40500</v>
      </c>
      <c r="F73" s="28">
        <f t="shared" si="30"/>
        <v>17659.883720930233</v>
      </c>
      <c r="G73" s="64">
        <f t="shared" si="26"/>
        <v>18366.279069767443</v>
      </c>
      <c r="H73" s="27" t="s">
        <v>19</v>
      </c>
      <c r="I73" s="28">
        <f t="shared" si="27"/>
        <v>19273.479069767443</v>
      </c>
      <c r="J73" s="28" t="s">
        <v>3</v>
      </c>
      <c r="K73" s="28">
        <v>12369</v>
      </c>
      <c r="L73" s="29" t="str">
        <f t="shared" si="23"/>
        <v>Project Prepay 58</v>
      </c>
      <c r="M73" s="43">
        <f t="shared" si="34"/>
        <v>0</v>
      </c>
      <c r="N73" s="43">
        <f t="shared" si="36"/>
        <v>0</v>
      </c>
      <c r="O73" s="43">
        <f t="shared" si="37"/>
        <v>0</v>
      </c>
      <c r="P73" s="43">
        <f t="shared" ref="P73:Q92" si="42">($AI73=P$1)*1</f>
        <v>0</v>
      </c>
      <c r="Q73" s="43">
        <f t="shared" si="42"/>
        <v>0</v>
      </c>
      <c r="R73" s="43">
        <f t="shared" si="38"/>
        <v>0</v>
      </c>
      <c r="S73" s="43">
        <f t="shared" si="41"/>
        <v>0</v>
      </c>
      <c r="T73" s="43">
        <f t="shared" si="41"/>
        <v>0</v>
      </c>
      <c r="U73" s="43">
        <f t="shared" si="41"/>
        <v>1</v>
      </c>
      <c r="V73" s="43">
        <f t="shared" si="41"/>
        <v>0</v>
      </c>
      <c r="W73" s="43">
        <f t="shared" si="41"/>
        <v>0</v>
      </c>
      <c r="X73" s="43">
        <f t="shared" si="41"/>
        <v>0</v>
      </c>
      <c r="Y73" s="43">
        <f t="shared" si="41"/>
        <v>0</v>
      </c>
      <c r="Z73" s="43">
        <f t="shared" si="41"/>
        <v>0</v>
      </c>
      <c r="AA73" s="43">
        <f t="shared" si="41"/>
        <v>0</v>
      </c>
      <c r="AB73" s="30" t="e">
        <f t="shared" si="41"/>
        <v>#N/A</v>
      </c>
      <c r="AC73" s="73">
        <f t="shared" si="20"/>
        <v>19273.479069767443</v>
      </c>
      <c r="AD73" s="70">
        <f t="array" ref="AD73">(PRODUCT(IF($AW$15:$BE$15=AI73,$AW$17:$BE$17)))</f>
        <v>1.04</v>
      </c>
      <c r="AE73" s="71">
        <f t="shared" si="28"/>
        <v>6904.4790697674434</v>
      </c>
      <c r="AF73" s="71">
        <f t="shared" si="24"/>
        <v>18264.342857142859</v>
      </c>
      <c r="AG73" s="71">
        <f t="shared" si="29"/>
        <v>5895.3428571428594</v>
      </c>
      <c r="AH73" s="71">
        <f t="shared" si="25"/>
        <v>-1009.136212624584</v>
      </c>
      <c r="AI73" s="35">
        <v>3</v>
      </c>
    </row>
    <row r="74" spans="1:35" x14ac:dyDescent="0.2">
      <c r="A74" s="30">
        <v>389</v>
      </c>
      <c r="B74" s="123" t="s">
        <v>128</v>
      </c>
      <c r="C74" s="62">
        <v>7.93</v>
      </c>
      <c r="D74" s="28">
        <f t="shared" si="21"/>
        <v>666.12</v>
      </c>
      <c r="E74" s="28">
        <v>35500</v>
      </c>
      <c r="F74" s="28">
        <f t="shared" si="30"/>
        <v>14589.04109589041</v>
      </c>
      <c r="G74" s="64">
        <f t="shared" si="26"/>
        <v>13130.13698630137</v>
      </c>
      <c r="H74" s="27" t="s">
        <v>19</v>
      </c>
      <c r="I74" s="28">
        <f t="shared" si="27"/>
        <v>13796.25698630137</v>
      </c>
      <c r="J74" s="28" t="s">
        <v>5</v>
      </c>
      <c r="K74" s="28">
        <v>16813.89</v>
      </c>
      <c r="L74" s="29" t="str">
        <f t="shared" si="23"/>
        <v>Project Prepay 59</v>
      </c>
      <c r="M74" s="43">
        <f t="shared" si="34"/>
        <v>0</v>
      </c>
      <c r="N74" s="43">
        <f t="shared" si="36"/>
        <v>0</v>
      </c>
      <c r="O74" s="43">
        <f t="shared" si="37"/>
        <v>0</v>
      </c>
      <c r="P74" s="43">
        <f t="shared" si="42"/>
        <v>0</v>
      </c>
      <c r="Q74" s="43">
        <f t="shared" si="42"/>
        <v>0</v>
      </c>
      <c r="R74" s="43">
        <f t="shared" si="38"/>
        <v>0</v>
      </c>
      <c r="S74" s="43">
        <f t="shared" ref="S74:AB83" si="43">($AI74=S$1)*1</f>
        <v>0</v>
      </c>
      <c r="T74" s="43">
        <f t="shared" si="43"/>
        <v>1</v>
      </c>
      <c r="U74" s="43">
        <f t="shared" si="43"/>
        <v>0</v>
      </c>
      <c r="V74" s="43">
        <f t="shared" si="43"/>
        <v>0</v>
      </c>
      <c r="W74" s="43">
        <f t="shared" si="43"/>
        <v>0</v>
      </c>
      <c r="X74" s="43">
        <f t="shared" si="43"/>
        <v>0</v>
      </c>
      <c r="Y74" s="43">
        <f t="shared" si="43"/>
        <v>0</v>
      </c>
      <c r="Z74" s="43">
        <f t="shared" si="43"/>
        <v>0</v>
      </c>
      <c r="AA74" s="43">
        <f t="shared" si="43"/>
        <v>0</v>
      </c>
      <c r="AB74" s="30" t="e">
        <f t="shared" si="43"/>
        <v>#N/A</v>
      </c>
      <c r="AC74" s="73">
        <f t="shared" si="20"/>
        <v>13796.25698630137</v>
      </c>
      <c r="AD74" s="70">
        <f t="array" ref="AD74">(PRODUCT(IF($AW$15:$BE$15=AI74,$AW$17:$BE$17)))</f>
        <v>0.9</v>
      </c>
      <c r="AE74" s="71">
        <f t="shared" si="28"/>
        <v>-3017.6330136986289</v>
      </c>
      <c r="AF74" s="71">
        <f t="shared" si="24"/>
        <v>15880.405714285715</v>
      </c>
      <c r="AG74" s="71">
        <f t="shared" si="29"/>
        <v>-933.48428571428485</v>
      </c>
      <c r="AH74" s="71">
        <f t="shared" si="25"/>
        <v>2084.1487279843441</v>
      </c>
      <c r="AI74" s="35">
        <v>2</v>
      </c>
    </row>
    <row r="75" spans="1:35" x14ac:dyDescent="0.2">
      <c r="A75" s="30">
        <v>388</v>
      </c>
      <c r="B75" s="123" t="s">
        <v>129</v>
      </c>
      <c r="C75" s="62">
        <v>4.5750000000000002</v>
      </c>
      <c r="D75" s="28">
        <f t="shared" si="21"/>
        <v>384.29999999999995</v>
      </c>
      <c r="E75" s="28">
        <v>20200</v>
      </c>
      <c r="F75" s="28">
        <f t="shared" si="30"/>
        <v>8440.1114206128132</v>
      </c>
      <c r="G75" s="64">
        <f t="shared" si="26"/>
        <v>7933.7047353760436</v>
      </c>
      <c r="H75" s="27" t="s">
        <v>19</v>
      </c>
      <c r="I75" s="28">
        <f t="shared" si="27"/>
        <v>8318.0047353760438</v>
      </c>
      <c r="J75" s="28" t="s">
        <v>6</v>
      </c>
      <c r="K75" s="28">
        <v>16855</v>
      </c>
      <c r="L75" s="29" t="str">
        <f t="shared" si="23"/>
        <v>Project Prepay 60</v>
      </c>
      <c r="M75" s="43">
        <f t="shared" ref="M75:M107" si="44">($AI75=M$1)*1</f>
        <v>0</v>
      </c>
      <c r="N75" s="43">
        <f t="shared" si="36"/>
        <v>0</v>
      </c>
      <c r="O75" s="43">
        <f t="shared" si="37"/>
        <v>0</v>
      </c>
      <c r="P75" s="43">
        <f t="shared" si="42"/>
        <v>0</v>
      </c>
      <c r="Q75" s="43">
        <f t="shared" si="42"/>
        <v>0</v>
      </c>
      <c r="R75" s="43">
        <f t="shared" si="38"/>
        <v>0</v>
      </c>
      <c r="S75" s="43">
        <f t="shared" si="43"/>
        <v>0</v>
      </c>
      <c r="T75" s="43">
        <f t="shared" si="43"/>
        <v>0</v>
      </c>
      <c r="U75" s="43">
        <f t="shared" si="43"/>
        <v>0</v>
      </c>
      <c r="V75" s="43">
        <f t="shared" si="43"/>
        <v>1</v>
      </c>
      <c r="W75" s="43">
        <f t="shared" si="43"/>
        <v>0</v>
      </c>
      <c r="X75" s="43">
        <f t="shared" si="43"/>
        <v>0</v>
      </c>
      <c r="Y75" s="43">
        <f t="shared" si="43"/>
        <v>0</v>
      </c>
      <c r="Z75" s="43">
        <f t="shared" si="43"/>
        <v>0</v>
      </c>
      <c r="AA75" s="43">
        <f t="shared" si="43"/>
        <v>0</v>
      </c>
      <c r="AB75" s="30" t="e">
        <f t="shared" si="43"/>
        <v>#N/A</v>
      </c>
      <c r="AC75" s="73">
        <f t="shared" si="20"/>
        <v>8318.0047353760438</v>
      </c>
      <c r="AD75" s="70">
        <f t="array" ref="AD75">(PRODUCT(IF($AW$15:$BE$15=AI75,$AW$17:$BE$17)))</f>
        <v>0.94</v>
      </c>
      <c r="AE75" s="71">
        <f t="shared" si="28"/>
        <v>-8536.9952646239562</v>
      </c>
      <c r="AF75" s="71">
        <f t="shared" si="24"/>
        <v>9041.4428571428562</v>
      </c>
      <c r="AG75" s="71">
        <f t="shared" si="29"/>
        <v>-7813.5571428571438</v>
      </c>
      <c r="AH75" s="71">
        <f t="shared" si="25"/>
        <v>723.4381217668124</v>
      </c>
      <c r="AI75" s="35">
        <v>4</v>
      </c>
    </row>
    <row r="76" spans="1:35" x14ac:dyDescent="0.2">
      <c r="A76" s="30">
        <v>387</v>
      </c>
      <c r="B76" s="123" t="s">
        <v>130</v>
      </c>
      <c r="C76" s="62">
        <v>5.49</v>
      </c>
      <c r="D76" s="28">
        <f t="shared" si="21"/>
        <v>461.15999999999997</v>
      </c>
      <c r="E76" s="28">
        <v>25100</v>
      </c>
      <c r="F76" s="28">
        <f t="shared" si="30"/>
        <v>10487.465181058496</v>
      </c>
      <c r="G76" s="64">
        <f t="shared" si="26"/>
        <v>9858.2172701949858</v>
      </c>
      <c r="H76" s="27" t="s">
        <v>19</v>
      </c>
      <c r="I76" s="28">
        <f t="shared" si="27"/>
        <v>10319.377270194986</v>
      </c>
      <c r="J76" s="28" t="s">
        <v>5</v>
      </c>
      <c r="K76" s="28">
        <v>9596</v>
      </c>
      <c r="L76" s="29" t="str">
        <f t="shared" si="23"/>
        <v>Project Prepay 61</v>
      </c>
      <c r="M76" s="43">
        <f t="shared" si="44"/>
        <v>0</v>
      </c>
      <c r="N76" s="43">
        <f t="shared" si="36"/>
        <v>0</v>
      </c>
      <c r="O76" s="43">
        <f t="shared" si="37"/>
        <v>0</v>
      </c>
      <c r="P76" s="43">
        <f t="shared" si="42"/>
        <v>0</v>
      </c>
      <c r="Q76" s="43">
        <f t="shared" si="42"/>
        <v>0</v>
      </c>
      <c r="R76" s="43">
        <f t="shared" si="38"/>
        <v>0</v>
      </c>
      <c r="S76" s="43">
        <f t="shared" si="43"/>
        <v>1</v>
      </c>
      <c r="T76" s="43">
        <f t="shared" si="43"/>
        <v>0</v>
      </c>
      <c r="U76" s="43">
        <f t="shared" si="43"/>
        <v>0</v>
      </c>
      <c r="V76" s="43">
        <f t="shared" si="43"/>
        <v>0</v>
      </c>
      <c r="W76" s="43">
        <f t="shared" si="43"/>
        <v>0</v>
      </c>
      <c r="X76" s="43">
        <f t="shared" si="43"/>
        <v>0</v>
      </c>
      <c r="Y76" s="43">
        <f t="shared" si="43"/>
        <v>0</v>
      </c>
      <c r="Z76" s="43">
        <f t="shared" si="43"/>
        <v>0</v>
      </c>
      <c r="AA76" s="43">
        <f t="shared" si="43"/>
        <v>0</v>
      </c>
      <c r="AB76" s="30" t="e">
        <f t="shared" si="43"/>
        <v>#N/A</v>
      </c>
      <c r="AC76" s="73">
        <f t="shared" si="20"/>
        <v>10319.377270194986</v>
      </c>
      <c r="AD76" s="70">
        <f t="array" ref="AD76">(PRODUCT(IF($AW$15:$BE$15=AI76,$AW$17:$BE$17)))</f>
        <v>0.94</v>
      </c>
      <c r="AE76" s="71">
        <f t="shared" si="28"/>
        <v>723.37727019498561</v>
      </c>
      <c r="AF76" s="71">
        <f t="shared" si="24"/>
        <v>11218.302857142859</v>
      </c>
      <c r="AG76" s="71">
        <f t="shared" si="29"/>
        <v>1622.3028571428586</v>
      </c>
      <c r="AH76" s="71">
        <f t="shared" si="25"/>
        <v>898.92558694787294</v>
      </c>
      <c r="AI76" s="35">
        <v>1</v>
      </c>
    </row>
    <row r="77" spans="1:35" x14ac:dyDescent="0.2">
      <c r="A77" s="30">
        <v>385</v>
      </c>
      <c r="B77" s="123" t="s">
        <v>131</v>
      </c>
      <c r="C77" s="62">
        <v>5.0999999999999996</v>
      </c>
      <c r="D77" s="28">
        <f t="shared" si="21"/>
        <v>428.4</v>
      </c>
      <c r="E77" s="28">
        <v>20900</v>
      </c>
      <c r="F77" s="28">
        <f t="shared" si="30"/>
        <v>9113.3720930232557</v>
      </c>
      <c r="G77" s="64">
        <f t="shared" si="26"/>
        <v>9477.906976744187</v>
      </c>
      <c r="H77" s="27" t="s">
        <v>19</v>
      </c>
      <c r="I77" s="28">
        <f t="shared" si="27"/>
        <v>9906.3069767441866</v>
      </c>
      <c r="J77" s="28" t="s">
        <v>3</v>
      </c>
      <c r="K77" s="28">
        <v>11907</v>
      </c>
      <c r="L77" s="29" t="str">
        <f t="shared" si="23"/>
        <v>Project Prepay 62</v>
      </c>
      <c r="M77" s="43">
        <f t="shared" si="44"/>
        <v>0</v>
      </c>
      <c r="N77" s="43">
        <f t="shared" ref="N77:N107" si="45">($AI77=N$1)*1</f>
        <v>0</v>
      </c>
      <c r="O77" s="43">
        <f t="shared" si="37"/>
        <v>0</v>
      </c>
      <c r="P77" s="43">
        <f t="shared" si="42"/>
        <v>0</v>
      </c>
      <c r="Q77" s="43">
        <f t="shared" si="42"/>
        <v>0</v>
      </c>
      <c r="R77" s="43">
        <f t="shared" si="38"/>
        <v>0</v>
      </c>
      <c r="S77" s="43">
        <f t="shared" si="43"/>
        <v>0</v>
      </c>
      <c r="T77" s="43">
        <f t="shared" si="43"/>
        <v>0</v>
      </c>
      <c r="U77" s="43">
        <f t="shared" si="43"/>
        <v>1</v>
      </c>
      <c r="V77" s="43">
        <f t="shared" si="43"/>
        <v>0</v>
      </c>
      <c r="W77" s="43">
        <f t="shared" si="43"/>
        <v>0</v>
      </c>
      <c r="X77" s="43">
        <f t="shared" si="43"/>
        <v>0</v>
      </c>
      <c r="Y77" s="43">
        <f t="shared" si="43"/>
        <v>0</v>
      </c>
      <c r="Z77" s="43">
        <f t="shared" si="43"/>
        <v>0</v>
      </c>
      <c r="AA77" s="43">
        <f t="shared" si="43"/>
        <v>0</v>
      </c>
      <c r="AB77" s="30" t="e">
        <f t="shared" si="43"/>
        <v>#N/A</v>
      </c>
      <c r="AC77" s="73">
        <f t="shared" si="20"/>
        <v>9906.3069767441866</v>
      </c>
      <c r="AD77" s="70">
        <f t="array" ref="AD77">(PRODUCT(IF($AW$15:$BE$15=AI77,$AW$17:$BE$17)))</f>
        <v>1.04</v>
      </c>
      <c r="AE77" s="71">
        <f t="shared" si="28"/>
        <v>-2000.6930232558134</v>
      </c>
      <c r="AF77" s="71">
        <f t="shared" si="24"/>
        <v>9385.5428571428565</v>
      </c>
      <c r="AG77" s="71">
        <f t="shared" si="29"/>
        <v>-2521.4571428571435</v>
      </c>
      <c r="AH77" s="71">
        <f t="shared" si="25"/>
        <v>-520.76411960133009</v>
      </c>
      <c r="AI77" s="35">
        <v>3</v>
      </c>
    </row>
    <row r="78" spans="1:35" x14ac:dyDescent="0.2">
      <c r="A78" s="30">
        <v>382</v>
      </c>
      <c r="B78" s="123" t="s">
        <v>132</v>
      </c>
      <c r="C78" s="62">
        <v>4.2699999999999996</v>
      </c>
      <c r="D78" s="28">
        <f t="shared" si="21"/>
        <v>358.67999999999995</v>
      </c>
      <c r="E78" s="28">
        <v>17500</v>
      </c>
      <c r="F78" s="28">
        <f t="shared" si="30"/>
        <v>7311.9777158774377</v>
      </c>
      <c r="G78" s="64">
        <f t="shared" si="26"/>
        <v>6873.2590529247909</v>
      </c>
      <c r="H78" s="27" t="s">
        <v>19</v>
      </c>
      <c r="I78" s="28">
        <f t="shared" si="27"/>
        <v>7231.9390529247912</v>
      </c>
      <c r="J78" s="28" t="s">
        <v>3</v>
      </c>
      <c r="K78" s="28">
        <v>8637.0400000000009</v>
      </c>
      <c r="L78" s="29" t="str">
        <f t="shared" si="23"/>
        <v>Project Prepay 63</v>
      </c>
      <c r="M78" s="43">
        <f t="shared" si="44"/>
        <v>0</v>
      </c>
      <c r="N78" s="43">
        <f t="shared" si="45"/>
        <v>0</v>
      </c>
      <c r="O78" s="43">
        <f t="shared" ref="O78:O107" si="46">($AI78=O$1)*1</f>
        <v>0</v>
      </c>
      <c r="P78" s="43">
        <f t="shared" si="42"/>
        <v>0</v>
      </c>
      <c r="Q78" s="43">
        <f t="shared" si="42"/>
        <v>0</v>
      </c>
      <c r="R78" s="43">
        <f t="shared" si="38"/>
        <v>0</v>
      </c>
      <c r="S78" s="43">
        <f t="shared" si="43"/>
        <v>1</v>
      </c>
      <c r="T78" s="43">
        <f t="shared" si="43"/>
        <v>0</v>
      </c>
      <c r="U78" s="43">
        <f t="shared" si="43"/>
        <v>0</v>
      </c>
      <c r="V78" s="43">
        <f t="shared" si="43"/>
        <v>0</v>
      </c>
      <c r="W78" s="43">
        <f t="shared" si="43"/>
        <v>0</v>
      </c>
      <c r="X78" s="43">
        <f t="shared" si="43"/>
        <v>0</v>
      </c>
      <c r="Y78" s="43">
        <f t="shared" si="43"/>
        <v>0</v>
      </c>
      <c r="Z78" s="43">
        <f t="shared" si="43"/>
        <v>0</v>
      </c>
      <c r="AA78" s="43">
        <f t="shared" si="43"/>
        <v>0</v>
      </c>
      <c r="AB78" s="30" t="e">
        <f t="shared" si="43"/>
        <v>#N/A</v>
      </c>
      <c r="AC78" s="73">
        <f t="shared" ref="AC78:AC107" si="47">SUM(M78:AA78)*I78</f>
        <v>7231.9390529247912</v>
      </c>
      <c r="AD78" s="70">
        <f t="array" ref="AD78">(PRODUCT(IF($AW$15:$BE$15=AI78,$AW$17:$BE$17)))</f>
        <v>0.94</v>
      </c>
      <c r="AE78" s="71">
        <f t="shared" si="28"/>
        <v>-1405.1009470752097</v>
      </c>
      <c r="AF78" s="71">
        <f t="shared" si="24"/>
        <v>7858.68</v>
      </c>
      <c r="AG78" s="71">
        <f t="shared" si="29"/>
        <v>-778.36000000000058</v>
      </c>
      <c r="AH78" s="71">
        <f t="shared" si="25"/>
        <v>626.74094707520908</v>
      </c>
      <c r="AI78" s="35">
        <v>1</v>
      </c>
    </row>
    <row r="79" spans="1:35" x14ac:dyDescent="0.2">
      <c r="A79" s="30">
        <v>381</v>
      </c>
      <c r="B79" s="123" t="s">
        <v>133</v>
      </c>
      <c r="C79" s="62">
        <v>6.3</v>
      </c>
      <c r="D79" s="28">
        <f t="shared" si="21"/>
        <v>529.20000000000005</v>
      </c>
      <c r="E79" s="28">
        <v>25000</v>
      </c>
      <c r="F79" s="28">
        <f t="shared" si="30"/>
        <v>10231.923601637107</v>
      </c>
      <c r="G79" s="64">
        <f t="shared" si="26"/>
        <v>9106.4120054570249</v>
      </c>
      <c r="H79" s="27" t="s">
        <v>19</v>
      </c>
      <c r="I79" s="28">
        <f t="shared" si="27"/>
        <v>9635.6120054570256</v>
      </c>
      <c r="J79" s="28" t="s">
        <v>3</v>
      </c>
      <c r="K79" s="28">
        <v>7231.94</v>
      </c>
      <c r="L79" s="29" t="str">
        <f t="shared" si="23"/>
        <v>Project Prepay 64</v>
      </c>
      <c r="M79" s="43">
        <f t="shared" si="44"/>
        <v>0</v>
      </c>
      <c r="N79" s="43">
        <f t="shared" si="45"/>
        <v>0</v>
      </c>
      <c r="O79" s="43">
        <f t="shared" si="46"/>
        <v>0</v>
      </c>
      <c r="P79" s="43">
        <f t="shared" si="42"/>
        <v>0</v>
      </c>
      <c r="Q79" s="43">
        <f t="shared" si="42"/>
        <v>0</v>
      </c>
      <c r="R79" s="43">
        <f t="shared" ref="R79:R107" si="48">($AI79=R$1)*1</f>
        <v>0</v>
      </c>
      <c r="S79" s="43">
        <f t="shared" si="43"/>
        <v>0</v>
      </c>
      <c r="T79" s="43">
        <f t="shared" si="43"/>
        <v>0</v>
      </c>
      <c r="U79" s="43">
        <f t="shared" si="43"/>
        <v>0</v>
      </c>
      <c r="V79" s="43">
        <f t="shared" si="43"/>
        <v>0</v>
      </c>
      <c r="W79" s="43">
        <f t="shared" si="43"/>
        <v>0</v>
      </c>
      <c r="X79" s="43">
        <f t="shared" si="43"/>
        <v>0</v>
      </c>
      <c r="Y79" s="43">
        <f t="shared" si="43"/>
        <v>0</v>
      </c>
      <c r="Z79" s="43">
        <f t="shared" si="43"/>
        <v>1</v>
      </c>
      <c r="AA79" s="43">
        <f t="shared" si="43"/>
        <v>0</v>
      </c>
      <c r="AB79" s="30" t="e">
        <f t="shared" si="43"/>
        <v>#N/A</v>
      </c>
      <c r="AC79" s="73">
        <f t="shared" si="47"/>
        <v>9635.6120054570256</v>
      </c>
      <c r="AD79" s="70">
        <f t="array" ref="AD79">(PRODUCT(IF($AW$15:$BE$15=AI79,$AW$17:$BE$17)))</f>
        <v>0.89</v>
      </c>
      <c r="AE79" s="71">
        <f t="shared" si="28"/>
        <v>2403.672005457026</v>
      </c>
      <c r="AF79" s="71">
        <f t="shared" si="24"/>
        <v>11243.485714285716</v>
      </c>
      <c r="AG79" s="71">
        <f t="shared" si="29"/>
        <v>4011.5457142857167</v>
      </c>
      <c r="AH79" s="71">
        <f t="shared" si="25"/>
        <v>1607.8737088286907</v>
      </c>
      <c r="AI79" s="35">
        <v>8</v>
      </c>
    </row>
    <row r="80" spans="1:35" x14ac:dyDescent="0.2">
      <c r="A80" s="30">
        <v>379</v>
      </c>
      <c r="B80" s="123" t="s">
        <v>134</v>
      </c>
      <c r="C80" s="62">
        <v>3.9649999999999999</v>
      </c>
      <c r="D80" s="28">
        <f t="shared" ref="D80:D107" si="49">C80*14*6</f>
        <v>333.06</v>
      </c>
      <c r="E80" s="28">
        <v>16246</v>
      </c>
      <c r="F80" s="28">
        <f t="shared" si="30"/>
        <v>7084.011627906978</v>
      </c>
      <c r="G80" s="64">
        <f t="shared" ref="G80:G107" si="50">IF(AI80=0,F80*1,F80*AD80)</f>
        <v>7367.3720930232575</v>
      </c>
      <c r="H80" s="27" t="s">
        <v>19</v>
      </c>
      <c r="I80" s="28">
        <f t="shared" ref="I80:I107" si="51">G80+D80</f>
        <v>7700.4320930232579</v>
      </c>
      <c r="J80" s="28" t="s">
        <v>16</v>
      </c>
      <c r="K80" s="28">
        <v>10348.14</v>
      </c>
      <c r="L80" s="29" t="str">
        <f t="shared" ref="L80:L107" si="52">B80</f>
        <v>Project Prepay 65</v>
      </c>
      <c r="M80" s="43">
        <f t="shared" si="44"/>
        <v>0</v>
      </c>
      <c r="N80" s="43">
        <f t="shared" si="45"/>
        <v>0</v>
      </c>
      <c r="O80" s="43">
        <f t="shared" si="46"/>
        <v>0</v>
      </c>
      <c r="P80" s="43">
        <f t="shared" si="42"/>
        <v>0</v>
      </c>
      <c r="Q80" s="43">
        <f t="shared" si="42"/>
        <v>0</v>
      </c>
      <c r="R80" s="43">
        <f t="shared" si="48"/>
        <v>0</v>
      </c>
      <c r="S80" s="43">
        <f t="shared" si="43"/>
        <v>0</v>
      </c>
      <c r="T80" s="43">
        <f t="shared" si="43"/>
        <v>0</v>
      </c>
      <c r="U80" s="43">
        <f t="shared" si="43"/>
        <v>1</v>
      </c>
      <c r="V80" s="43">
        <f t="shared" si="43"/>
        <v>0</v>
      </c>
      <c r="W80" s="43">
        <f t="shared" si="43"/>
        <v>0</v>
      </c>
      <c r="X80" s="43">
        <f t="shared" si="43"/>
        <v>0</v>
      </c>
      <c r="Y80" s="43">
        <f t="shared" si="43"/>
        <v>0</v>
      </c>
      <c r="Z80" s="43">
        <f t="shared" si="43"/>
        <v>0</v>
      </c>
      <c r="AA80" s="43">
        <f t="shared" si="43"/>
        <v>0</v>
      </c>
      <c r="AB80" s="30" t="e">
        <f t="shared" si="43"/>
        <v>#N/A</v>
      </c>
      <c r="AC80" s="73">
        <f t="shared" si="47"/>
        <v>7700.4320930232579</v>
      </c>
      <c r="AD80" s="70">
        <f t="array" ref="AD80">(PRODUCT(IF($AW$15:$BE$15=AI80,$AW$17:$BE$17)))</f>
        <v>1.04</v>
      </c>
      <c r="AE80" s="71">
        <f t="shared" ref="AE80:AE107" si="53">AC80-K80</f>
        <v>-2647.7079069767415</v>
      </c>
      <c r="AF80" s="71">
        <f t="shared" ref="AF80:AF107" si="54">(E80/(1-0.3)*0.3)+D80</f>
        <v>7295.6314285714298</v>
      </c>
      <c r="AG80" s="71">
        <f t="shared" ref="AG80:AG107" si="55">AF80-K80</f>
        <v>-3052.5085714285697</v>
      </c>
      <c r="AH80" s="71">
        <f t="shared" ref="AH80:AH107" si="56">AF80-I80</f>
        <v>-404.8006644518282</v>
      </c>
      <c r="AI80" s="35">
        <v>3</v>
      </c>
    </row>
    <row r="81" spans="1:35" x14ac:dyDescent="0.2">
      <c r="A81" s="30">
        <v>378</v>
      </c>
      <c r="B81" s="123" t="s">
        <v>135</v>
      </c>
      <c r="C81" s="62">
        <v>6.1</v>
      </c>
      <c r="D81" s="28">
        <f t="shared" si="49"/>
        <v>512.4</v>
      </c>
      <c r="E81" s="28">
        <v>20600</v>
      </c>
      <c r="F81" s="28">
        <f t="shared" si="30"/>
        <v>8607.2423398328683</v>
      </c>
      <c r="G81" s="64">
        <f t="shared" si="50"/>
        <v>8090.8077994428959</v>
      </c>
      <c r="H81" s="27" t="s">
        <v>19</v>
      </c>
      <c r="I81" s="28">
        <f t="shared" si="51"/>
        <v>8603.2077994428964</v>
      </c>
      <c r="J81" s="28" t="s">
        <v>6</v>
      </c>
      <c r="K81" s="28">
        <v>7844</v>
      </c>
      <c r="L81" s="29" t="str">
        <f t="shared" si="52"/>
        <v>Project Prepay 66</v>
      </c>
      <c r="M81" s="43">
        <f t="shared" si="44"/>
        <v>0</v>
      </c>
      <c r="N81" s="43">
        <f t="shared" si="45"/>
        <v>0</v>
      </c>
      <c r="O81" s="43">
        <f t="shared" si="46"/>
        <v>0</v>
      </c>
      <c r="P81" s="43">
        <f t="shared" si="42"/>
        <v>0</v>
      </c>
      <c r="Q81" s="43">
        <f t="shared" si="42"/>
        <v>0</v>
      </c>
      <c r="R81" s="43">
        <f t="shared" si="48"/>
        <v>0</v>
      </c>
      <c r="S81" s="43">
        <f t="shared" si="43"/>
        <v>0</v>
      </c>
      <c r="T81" s="43">
        <f t="shared" si="43"/>
        <v>0</v>
      </c>
      <c r="U81" s="43">
        <f t="shared" si="43"/>
        <v>0</v>
      </c>
      <c r="V81" s="43">
        <f t="shared" si="43"/>
        <v>1</v>
      </c>
      <c r="W81" s="43">
        <f t="shared" si="43"/>
        <v>0</v>
      </c>
      <c r="X81" s="43">
        <f t="shared" si="43"/>
        <v>0</v>
      </c>
      <c r="Y81" s="43">
        <f t="shared" si="43"/>
        <v>0</v>
      </c>
      <c r="Z81" s="43">
        <f t="shared" si="43"/>
        <v>0</v>
      </c>
      <c r="AA81" s="43">
        <f t="shared" si="43"/>
        <v>0</v>
      </c>
      <c r="AB81" s="30" t="e">
        <f t="shared" si="43"/>
        <v>#N/A</v>
      </c>
      <c r="AC81" s="73">
        <f t="shared" si="47"/>
        <v>8603.2077994428964</v>
      </c>
      <c r="AD81" s="70">
        <f t="array" ref="AD81">(PRODUCT(IF($AW$15:$BE$15=AI81,$AW$17:$BE$17)))</f>
        <v>0.94</v>
      </c>
      <c r="AE81" s="71">
        <f t="shared" si="53"/>
        <v>759.20779944289643</v>
      </c>
      <c r="AF81" s="71">
        <f t="shared" si="54"/>
        <v>9340.971428571429</v>
      </c>
      <c r="AG81" s="71">
        <f t="shared" si="55"/>
        <v>1496.971428571429</v>
      </c>
      <c r="AH81" s="71">
        <f t="shared" si="56"/>
        <v>737.76362912853256</v>
      </c>
      <c r="AI81" s="35">
        <v>4</v>
      </c>
    </row>
    <row r="82" spans="1:35" x14ac:dyDescent="0.2">
      <c r="A82" s="30">
        <v>377</v>
      </c>
      <c r="B82" s="123" t="s">
        <v>136</v>
      </c>
      <c r="C82" s="62">
        <v>4.0949999999999998</v>
      </c>
      <c r="D82" s="28">
        <f t="shared" si="49"/>
        <v>343.98</v>
      </c>
      <c r="E82" s="28">
        <v>17000</v>
      </c>
      <c r="F82" s="28">
        <f t="shared" si="30"/>
        <v>6957.7080491132338</v>
      </c>
      <c r="G82" s="64">
        <f t="shared" si="50"/>
        <v>6192.3601637107786</v>
      </c>
      <c r="H82" s="27" t="s">
        <v>19</v>
      </c>
      <c r="I82" s="28">
        <f t="shared" si="51"/>
        <v>6536.3401637107781</v>
      </c>
      <c r="J82" s="28" t="s">
        <v>5</v>
      </c>
      <c r="K82" s="28">
        <v>8603</v>
      </c>
      <c r="L82" s="29" t="str">
        <f t="shared" si="52"/>
        <v>Project Prepay 67</v>
      </c>
      <c r="M82" s="43">
        <f t="shared" si="44"/>
        <v>0</v>
      </c>
      <c r="N82" s="43">
        <f t="shared" si="45"/>
        <v>0</v>
      </c>
      <c r="O82" s="43">
        <f t="shared" si="46"/>
        <v>0</v>
      </c>
      <c r="P82" s="43">
        <f t="shared" si="42"/>
        <v>0</v>
      </c>
      <c r="Q82" s="43">
        <f t="shared" si="42"/>
        <v>0</v>
      </c>
      <c r="R82" s="43">
        <f t="shared" si="48"/>
        <v>0</v>
      </c>
      <c r="S82" s="43">
        <f t="shared" si="43"/>
        <v>0</v>
      </c>
      <c r="T82" s="43">
        <f t="shared" si="43"/>
        <v>0</v>
      </c>
      <c r="U82" s="43">
        <f t="shared" si="43"/>
        <v>0</v>
      </c>
      <c r="V82" s="43">
        <f t="shared" si="43"/>
        <v>0</v>
      </c>
      <c r="W82" s="43">
        <f t="shared" si="43"/>
        <v>0</v>
      </c>
      <c r="X82" s="43">
        <f t="shared" si="43"/>
        <v>0</v>
      </c>
      <c r="Y82" s="43">
        <f t="shared" si="43"/>
        <v>0</v>
      </c>
      <c r="Z82" s="43">
        <f t="shared" si="43"/>
        <v>1</v>
      </c>
      <c r="AA82" s="43">
        <f t="shared" si="43"/>
        <v>0</v>
      </c>
      <c r="AB82" s="30" t="e">
        <f t="shared" si="43"/>
        <v>#N/A</v>
      </c>
      <c r="AC82" s="73">
        <f t="shared" si="47"/>
        <v>6536.3401637107781</v>
      </c>
      <c r="AD82" s="70">
        <f t="array" ref="AD82">(PRODUCT(IF($AW$15:$BE$15=AI82,$AW$17:$BE$17)))</f>
        <v>0.89</v>
      </c>
      <c r="AE82" s="71">
        <f t="shared" si="53"/>
        <v>-2066.6598362892219</v>
      </c>
      <c r="AF82" s="71">
        <f t="shared" si="54"/>
        <v>7629.6942857142858</v>
      </c>
      <c r="AG82" s="71">
        <f t="shared" si="55"/>
        <v>-973.3057142857142</v>
      </c>
      <c r="AH82" s="71">
        <f t="shared" si="56"/>
        <v>1093.3541220035077</v>
      </c>
      <c r="AI82" s="35">
        <v>8</v>
      </c>
    </row>
    <row r="83" spans="1:35" x14ac:dyDescent="0.2">
      <c r="A83" s="30">
        <v>375</v>
      </c>
      <c r="B83" s="123" t="s">
        <v>137</v>
      </c>
      <c r="C83" s="62">
        <v>5.58</v>
      </c>
      <c r="D83" s="28">
        <f t="shared" si="49"/>
        <v>468.72</v>
      </c>
      <c r="E83" s="28">
        <v>27300</v>
      </c>
      <c r="F83" s="28">
        <f t="shared" si="30"/>
        <v>11406.685236768802</v>
      </c>
      <c r="G83" s="64">
        <f t="shared" si="50"/>
        <v>10722.284122562674</v>
      </c>
      <c r="H83" s="27" t="s">
        <v>19</v>
      </c>
      <c r="I83" s="28">
        <f t="shared" si="51"/>
        <v>11191.004122562674</v>
      </c>
      <c r="J83" s="28" t="s">
        <v>6</v>
      </c>
      <c r="K83" s="28">
        <v>8096</v>
      </c>
      <c r="L83" s="29" t="str">
        <f t="shared" si="52"/>
        <v>Project Prepay 68</v>
      </c>
      <c r="M83" s="43">
        <f t="shared" si="44"/>
        <v>0</v>
      </c>
      <c r="N83" s="43">
        <f t="shared" si="45"/>
        <v>0</v>
      </c>
      <c r="O83" s="43">
        <f t="shared" si="46"/>
        <v>0</v>
      </c>
      <c r="P83" s="43">
        <f t="shared" si="42"/>
        <v>0</v>
      </c>
      <c r="Q83" s="43">
        <f t="shared" si="42"/>
        <v>0</v>
      </c>
      <c r="R83" s="43">
        <f t="shared" si="48"/>
        <v>0</v>
      </c>
      <c r="S83" s="43">
        <f t="shared" si="43"/>
        <v>0</v>
      </c>
      <c r="T83" s="43">
        <f t="shared" si="43"/>
        <v>0</v>
      </c>
      <c r="U83" s="43">
        <f t="shared" si="43"/>
        <v>0</v>
      </c>
      <c r="V83" s="43">
        <f t="shared" si="43"/>
        <v>1</v>
      </c>
      <c r="W83" s="43">
        <f t="shared" si="43"/>
        <v>0</v>
      </c>
      <c r="X83" s="43">
        <f t="shared" si="43"/>
        <v>0</v>
      </c>
      <c r="Y83" s="43">
        <f t="shared" si="43"/>
        <v>0</v>
      </c>
      <c r="Z83" s="43">
        <f t="shared" si="43"/>
        <v>0</v>
      </c>
      <c r="AA83" s="43">
        <f t="shared" si="43"/>
        <v>0</v>
      </c>
      <c r="AB83" s="30" t="e">
        <f t="shared" si="43"/>
        <v>#N/A</v>
      </c>
      <c r="AC83" s="73">
        <f t="shared" si="47"/>
        <v>11191.004122562674</v>
      </c>
      <c r="AD83" s="70">
        <f t="array" ref="AD83">(PRODUCT(IF($AW$15:$BE$15=AI83,$AW$17:$BE$17)))</f>
        <v>0.94</v>
      </c>
      <c r="AE83" s="71">
        <f t="shared" si="53"/>
        <v>3095.0041225626737</v>
      </c>
      <c r="AF83" s="71">
        <f t="shared" si="54"/>
        <v>12168.72</v>
      </c>
      <c r="AG83" s="71">
        <f t="shared" si="55"/>
        <v>4072.7199999999993</v>
      </c>
      <c r="AH83" s="71">
        <f t="shared" si="56"/>
        <v>977.71587743732562</v>
      </c>
      <c r="AI83" s="35">
        <v>4</v>
      </c>
    </row>
    <row r="84" spans="1:35" x14ac:dyDescent="0.2">
      <c r="A84" s="30">
        <v>374</v>
      </c>
      <c r="B84" s="123" t="s">
        <v>138</v>
      </c>
      <c r="C84" s="62">
        <v>5.4</v>
      </c>
      <c r="D84" s="28">
        <f t="shared" si="49"/>
        <v>453.6</v>
      </c>
      <c r="E84" s="28">
        <v>24900</v>
      </c>
      <c r="F84" s="28">
        <f t="shared" si="30"/>
        <v>10857.558139534884</v>
      </c>
      <c r="G84" s="64">
        <f t="shared" si="50"/>
        <v>11291.860465116279</v>
      </c>
      <c r="H84" s="27" t="s">
        <v>19</v>
      </c>
      <c r="I84" s="28">
        <f t="shared" si="51"/>
        <v>11745.460465116279</v>
      </c>
      <c r="J84" s="28" t="s">
        <v>6</v>
      </c>
      <c r="K84" s="28">
        <v>11206</v>
      </c>
      <c r="L84" s="29" t="str">
        <f t="shared" si="52"/>
        <v>Project Prepay 69</v>
      </c>
      <c r="M84" s="43">
        <f t="shared" si="44"/>
        <v>0</v>
      </c>
      <c r="N84" s="43">
        <f t="shared" si="45"/>
        <v>0</v>
      </c>
      <c r="O84" s="43">
        <f t="shared" si="46"/>
        <v>0</v>
      </c>
      <c r="P84" s="43">
        <f t="shared" si="42"/>
        <v>0</v>
      </c>
      <c r="Q84" s="43">
        <f t="shared" si="42"/>
        <v>0</v>
      </c>
      <c r="R84" s="43">
        <f t="shared" si="48"/>
        <v>0</v>
      </c>
      <c r="S84" s="43">
        <f t="shared" ref="S84:AB97" si="57">($AI84=S$1)*1</f>
        <v>0</v>
      </c>
      <c r="T84" s="43">
        <f t="shared" si="57"/>
        <v>0</v>
      </c>
      <c r="U84" s="43">
        <f t="shared" si="57"/>
        <v>1</v>
      </c>
      <c r="V84" s="43">
        <f t="shared" si="57"/>
        <v>0</v>
      </c>
      <c r="W84" s="43">
        <f t="shared" si="57"/>
        <v>0</v>
      </c>
      <c r="X84" s="43">
        <f t="shared" si="57"/>
        <v>0</v>
      </c>
      <c r="Y84" s="43">
        <f t="shared" si="57"/>
        <v>0</v>
      </c>
      <c r="Z84" s="43">
        <f t="shared" si="57"/>
        <v>0</v>
      </c>
      <c r="AA84" s="43">
        <f t="shared" si="57"/>
        <v>0</v>
      </c>
      <c r="AB84" s="30" t="e">
        <f t="shared" si="57"/>
        <v>#N/A</v>
      </c>
      <c r="AC84" s="73">
        <f t="shared" si="47"/>
        <v>11745.460465116279</v>
      </c>
      <c r="AD84" s="70">
        <f t="array" ref="AD84">(PRODUCT(IF($AW$15:$BE$15=AI84,$AW$17:$BE$17)))</f>
        <v>1.04</v>
      </c>
      <c r="AE84" s="71">
        <f t="shared" si="53"/>
        <v>539.46046511627901</v>
      </c>
      <c r="AF84" s="71">
        <f t="shared" si="54"/>
        <v>11125.028571428571</v>
      </c>
      <c r="AG84" s="71">
        <f t="shared" si="55"/>
        <v>-80.971428571428987</v>
      </c>
      <c r="AH84" s="71">
        <f t="shared" si="56"/>
        <v>-620.431893687708</v>
      </c>
      <c r="AI84" s="35">
        <v>3</v>
      </c>
    </row>
    <row r="85" spans="1:35" x14ac:dyDescent="0.2">
      <c r="A85" s="30">
        <v>372</v>
      </c>
      <c r="B85" s="123" t="s">
        <v>139</v>
      </c>
      <c r="C85" s="62">
        <v>9.3000000000000007</v>
      </c>
      <c r="D85" s="28">
        <f t="shared" si="49"/>
        <v>781.2</v>
      </c>
      <c r="E85" s="28">
        <v>39125</v>
      </c>
      <c r="F85" s="28">
        <f t="shared" si="30"/>
        <v>17060.319767441862</v>
      </c>
      <c r="G85" s="64">
        <f t="shared" si="50"/>
        <v>17742.732558139538</v>
      </c>
      <c r="H85" s="27" t="s">
        <v>19</v>
      </c>
      <c r="I85" s="28">
        <f t="shared" si="51"/>
        <v>18523.932558139539</v>
      </c>
      <c r="J85" s="28" t="s">
        <v>3</v>
      </c>
      <c r="K85" s="28">
        <v>10250</v>
      </c>
      <c r="L85" s="29" t="str">
        <f t="shared" si="52"/>
        <v>Project Prepay 70</v>
      </c>
      <c r="M85" s="43">
        <f t="shared" si="44"/>
        <v>0</v>
      </c>
      <c r="N85" s="43">
        <f t="shared" si="45"/>
        <v>0</v>
      </c>
      <c r="O85" s="43">
        <f t="shared" si="46"/>
        <v>0</v>
      </c>
      <c r="P85" s="43">
        <f t="shared" si="42"/>
        <v>0</v>
      </c>
      <c r="Q85" s="43">
        <f t="shared" si="42"/>
        <v>0</v>
      </c>
      <c r="R85" s="43">
        <f t="shared" si="48"/>
        <v>0</v>
      </c>
      <c r="S85" s="43">
        <f t="shared" si="57"/>
        <v>0</v>
      </c>
      <c r="T85" s="43">
        <f t="shared" si="57"/>
        <v>0</v>
      </c>
      <c r="U85" s="43">
        <f t="shared" si="57"/>
        <v>1</v>
      </c>
      <c r="V85" s="43">
        <f t="shared" si="57"/>
        <v>0</v>
      </c>
      <c r="W85" s="43">
        <f t="shared" si="57"/>
        <v>0</v>
      </c>
      <c r="X85" s="43">
        <f t="shared" si="57"/>
        <v>0</v>
      </c>
      <c r="Y85" s="43">
        <f t="shared" si="57"/>
        <v>0</v>
      </c>
      <c r="Z85" s="43">
        <f t="shared" si="57"/>
        <v>0</v>
      </c>
      <c r="AA85" s="43">
        <f t="shared" si="57"/>
        <v>0</v>
      </c>
      <c r="AB85" s="30" t="e">
        <f t="shared" si="57"/>
        <v>#N/A</v>
      </c>
      <c r="AC85" s="73">
        <f t="shared" si="47"/>
        <v>18523.932558139539</v>
      </c>
      <c r="AD85" s="70">
        <f t="array" ref="AD85">(PRODUCT(IF($AW$15:$BE$15=AI85,$AW$17:$BE$17)))</f>
        <v>1.04</v>
      </c>
      <c r="AE85" s="71">
        <f t="shared" si="53"/>
        <v>8273.9325581395387</v>
      </c>
      <c r="AF85" s="71">
        <f t="shared" si="54"/>
        <v>17549.057142857142</v>
      </c>
      <c r="AG85" s="71">
        <f t="shared" si="55"/>
        <v>7299.057142857142</v>
      </c>
      <c r="AH85" s="71">
        <f t="shared" si="56"/>
        <v>-974.87541528239672</v>
      </c>
      <c r="AI85" s="35">
        <v>3</v>
      </c>
    </row>
    <row r="86" spans="1:35" x14ac:dyDescent="0.2">
      <c r="A86" s="30">
        <v>371</v>
      </c>
      <c r="B86" s="123" t="s">
        <v>140</v>
      </c>
      <c r="C86" s="62">
        <v>7.2</v>
      </c>
      <c r="D86" s="28">
        <f t="shared" si="49"/>
        <v>604.79999999999995</v>
      </c>
      <c r="E86" s="28">
        <v>29500</v>
      </c>
      <c r="F86" s="28">
        <f t="shared" si="30"/>
        <v>12325.905292479109</v>
      </c>
      <c r="G86" s="64">
        <f t="shared" si="50"/>
        <v>11586.350974930361</v>
      </c>
      <c r="H86" s="27" t="s">
        <v>19</v>
      </c>
      <c r="I86" s="28">
        <f t="shared" si="51"/>
        <v>12191.15097493036</v>
      </c>
      <c r="J86" s="28" t="s">
        <v>3</v>
      </c>
      <c r="K86" s="28">
        <v>16147.84</v>
      </c>
      <c r="L86" s="29" t="str">
        <f t="shared" si="52"/>
        <v>Project Prepay 71</v>
      </c>
      <c r="M86" s="43">
        <f t="shared" si="44"/>
        <v>0</v>
      </c>
      <c r="N86" s="43">
        <f t="shared" si="45"/>
        <v>0</v>
      </c>
      <c r="O86" s="43">
        <f t="shared" si="46"/>
        <v>0</v>
      </c>
      <c r="P86" s="43">
        <f t="shared" si="42"/>
        <v>0</v>
      </c>
      <c r="Q86" s="43">
        <f t="shared" si="42"/>
        <v>0</v>
      </c>
      <c r="R86" s="43">
        <f t="shared" si="48"/>
        <v>0</v>
      </c>
      <c r="S86" s="43">
        <f t="shared" si="57"/>
        <v>0</v>
      </c>
      <c r="T86" s="43">
        <f t="shared" si="57"/>
        <v>0</v>
      </c>
      <c r="U86" s="43">
        <f t="shared" si="57"/>
        <v>0</v>
      </c>
      <c r="V86" s="43">
        <f t="shared" si="57"/>
        <v>1</v>
      </c>
      <c r="W86" s="43">
        <f t="shared" si="57"/>
        <v>0</v>
      </c>
      <c r="X86" s="43">
        <f t="shared" si="57"/>
        <v>0</v>
      </c>
      <c r="Y86" s="43">
        <f t="shared" si="57"/>
        <v>0</v>
      </c>
      <c r="Z86" s="43">
        <f t="shared" si="57"/>
        <v>0</v>
      </c>
      <c r="AA86" s="43">
        <f t="shared" si="57"/>
        <v>0</v>
      </c>
      <c r="AB86" s="30" t="e">
        <f t="shared" si="57"/>
        <v>#N/A</v>
      </c>
      <c r="AC86" s="73">
        <f t="shared" si="47"/>
        <v>12191.15097493036</v>
      </c>
      <c r="AD86" s="70">
        <f t="array" ref="AD86">(PRODUCT(IF($AW$15:$BE$15=AI86,$AW$17:$BE$17)))</f>
        <v>0.94</v>
      </c>
      <c r="AE86" s="71">
        <f t="shared" si="53"/>
        <v>-3956.6890250696397</v>
      </c>
      <c r="AF86" s="71">
        <f t="shared" si="54"/>
        <v>13247.657142857142</v>
      </c>
      <c r="AG86" s="71">
        <f t="shared" si="55"/>
        <v>-2900.1828571428578</v>
      </c>
      <c r="AH86" s="71">
        <f t="shared" si="56"/>
        <v>1056.5061679267819</v>
      </c>
      <c r="AI86" s="35">
        <v>4</v>
      </c>
    </row>
    <row r="87" spans="1:35" x14ac:dyDescent="0.2">
      <c r="A87" s="30">
        <v>370</v>
      </c>
      <c r="B87" s="123" t="s">
        <v>141</v>
      </c>
      <c r="C87" s="62">
        <v>9</v>
      </c>
      <c r="D87" s="28">
        <f t="shared" si="49"/>
        <v>756</v>
      </c>
      <c r="E87" s="28">
        <v>32100</v>
      </c>
      <c r="F87" s="28">
        <f t="shared" ref="F87:F107" si="58">IF(AI87=0,(E87/(1-0.3))*0.3,(E87/(1-0.3*AD87))*0.3)</f>
        <v>13997.093023255815</v>
      </c>
      <c r="G87" s="64">
        <f t="shared" si="50"/>
        <v>14556.976744186048</v>
      </c>
      <c r="H87" s="27" t="s">
        <v>19</v>
      </c>
      <c r="I87" s="28">
        <f t="shared" si="51"/>
        <v>15312.976744186048</v>
      </c>
      <c r="J87" s="28" t="s">
        <v>6</v>
      </c>
      <c r="K87" s="28">
        <v>12191.15</v>
      </c>
      <c r="L87" s="29" t="str">
        <f t="shared" si="52"/>
        <v>Project Prepay 72</v>
      </c>
      <c r="M87" s="43">
        <f t="shared" si="44"/>
        <v>0</v>
      </c>
      <c r="N87" s="43">
        <f t="shared" si="45"/>
        <v>0</v>
      </c>
      <c r="O87" s="43">
        <f t="shared" si="46"/>
        <v>0</v>
      </c>
      <c r="P87" s="43">
        <f t="shared" si="42"/>
        <v>0</v>
      </c>
      <c r="Q87" s="43">
        <f t="shared" si="42"/>
        <v>0</v>
      </c>
      <c r="R87" s="43">
        <f t="shared" si="48"/>
        <v>0</v>
      </c>
      <c r="S87" s="43">
        <f t="shared" si="57"/>
        <v>0</v>
      </c>
      <c r="T87" s="43">
        <f t="shared" si="57"/>
        <v>0</v>
      </c>
      <c r="U87" s="43">
        <f t="shared" si="57"/>
        <v>1</v>
      </c>
      <c r="V87" s="43">
        <f t="shared" si="57"/>
        <v>0</v>
      </c>
      <c r="W87" s="43">
        <f t="shared" si="57"/>
        <v>0</v>
      </c>
      <c r="X87" s="43">
        <f t="shared" si="57"/>
        <v>0</v>
      </c>
      <c r="Y87" s="43">
        <f t="shared" si="57"/>
        <v>0</v>
      </c>
      <c r="Z87" s="43">
        <f t="shared" si="57"/>
        <v>0</v>
      </c>
      <c r="AA87" s="43">
        <f t="shared" si="57"/>
        <v>0</v>
      </c>
      <c r="AB87" s="30" t="e">
        <f t="shared" si="57"/>
        <v>#N/A</v>
      </c>
      <c r="AC87" s="73">
        <f t="shared" si="47"/>
        <v>15312.976744186048</v>
      </c>
      <c r="AD87" s="70">
        <f t="array" ref="AD87">(PRODUCT(IF($AW$15:$BE$15=AI87,$AW$17:$BE$17)))</f>
        <v>1.04</v>
      </c>
      <c r="AE87" s="71">
        <f t="shared" si="53"/>
        <v>3121.826744186048</v>
      </c>
      <c r="AF87" s="71">
        <f t="shared" si="54"/>
        <v>14513.142857142859</v>
      </c>
      <c r="AG87" s="71">
        <f t="shared" si="55"/>
        <v>2321.9928571428591</v>
      </c>
      <c r="AH87" s="71">
        <f t="shared" si="56"/>
        <v>-799.83388704318895</v>
      </c>
      <c r="AI87" s="35">
        <v>3</v>
      </c>
    </row>
    <row r="88" spans="1:35" x14ac:dyDescent="0.2">
      <c r="A88" s="30">
        <v>369</v>
      </c>
      <c r="B88" s="123" t="s">
        <v>142</v>
      </c>
      <c r="C88" s="62">
        <v>7.36</v>
      </c>
      <c r="D88" s="28">
        <f t="shared" si="49"/>
        <v>618.24</v>
      </c>
      <c r="E88" s="28">
        <v>27600</v>
      </c>
      <c r="F88" s="28">
        <f t="shared" si="58"/>
        <v>11342.465753424658</v>
      </c>
      <c r="G88" s="64">
        <f t="shared" si="50"/>
        <v>10208.219178082192</v>
      </c>
      <c r="H88" s="27" t="s">
        <v>19</v>
      </c>
      <c r="I88" s="28">
        <f t="shared" si="51"/>
        <v>10826.459178082192</v>
      </c>
      <c r="J88" s="28" t="s">
        <v>6</v>
      </c>
      <c r="K88" s="28">
        <v>13364</v>
      </c>
      <c r="L88" s="29" t="str">
        <f t="shared" si="52"/>
        <v>Project Prepay 73</v>
      </c>
      <c r="M88" s="43">
        <f t="shared" si="44"/>
        <v>0</v>
      </c>
      <c r="N88" s="43">
        <f t="shared" si="45"/>
        <v>0</v>
      </c>
      <c r="O88" s="43">
        <f t="shared" si="46"/>
        <v>0</v>
      </c>
      <c r="P88" s="43">
        <f t="shared" si="42"/>
        <v>0</v>
      </c>
      <c r="Q88" s="43">
        <f t="shared" si="42"/>
        <v>0</v>
      </c>
      <c r="R88" s="43">
        <f t="shared" si="48"/>
        <v>0</v>
      </c>
      <c r="S88" s="43">
        <f t="shared" si="57"/>
        <v>0</v>
      </c>
      <c r="T88" s="43">
        <f t="shared" si="57"/>
        <v>1</v>
      </c>
      <c r="U88" s="43">
        <f t="shared" si="57"/>
        <v>0</v>
      </c>
      <c r="V88" s="43">
        <f t="shared" si="57"/>
        <v>0</v>
      </c>
      <c r="W88" s="43">
        <f t="shared" si="57"/>
        <v>0</v>
      </c>
      <c r="X88" s="43">
        <f t="shared" si="57"/>
        <v>0</v>
      </c>
      <c r="Y88" s="43">
        <f t="shared" si="57"/>
        <v>0</v>
      </c>
      <c r="Z88" s="43">
        <f t="shared" si="57"/>
        <v>0</v>
      </c>
      <c r="AA88" s="43">
        <f t="shared" si="57"/>
        <v>0</v>
      </c>
      <c r="AB88" s="30" t="e">
        <f t="shared" si="57"/>
        <v>#N/A</v>
      </c>
      <c r="AC88" s="73">
        <f t="shared" si="47"/>
        <v>10826.459178082192</v>
      </c>
      <c r="AD88" s="70">
        <f t="array" ref="AD88">(PRODUCT(IF($AW$15:$BE$15=AI88,$AW$17:$BE$17)))</f>
        <v>0.9</v>
      </c>
      <c r="AE88" s="71">
        <f t="shared" si="53"/>
        <v>-2537.540821917808</v>
      </c>
      <c r="AF88" s="71">
        <f t="shared" si="54"/>
        <v>12446.811428571427</v>
      </c>
      <c r="AG88" s="71">
        <f t="shared" si="55"/>
        <v>-917.18857142857269</v>
      </c>
      <c r="AH88" s="71">
        <f t="shared" si="56"/>
        <v>1620.3522504892353</v>
      </c>
      <c r="AI88" s="35">
        <v>2</v>
      </c>
    </row>
    <row r="89" spans="1:35" x14ac:dyDescent="0.2">
      <c r="A89" s="30">
        <v>368</v>
      </c>
      <c r="B89" s="123" t="s">
        <v>143</v>
      </c>
      <c r="C89" s="62">
        <v>5.9</v>
      </c>
      <c r="D89" s="28">
        <f t="shared" si="49"/>
        <v>495.6</v>
      </c>
      <c r="E89" s="28">
        <v>20600</v>
      </c>
      <c r="F89" s="28">
        <f t="shared" si="58"/>
        <v>8982.5581395348836</v>
      </c>
      <c r="G89" s="64">
        <f t="shared" si="50"/>
        <v>9341.8604651162786</v>
      </c>
      <c r="H89" s="27" t="s">
        <v>19</v>
      </c>
      <c r="I89" s="28">
        <f t="shared" si="51"/>
        <v>9837.460465116279</v>
      </c>
      <c r="J89" s="28" t="s">
        <v>6</v>
      </c>
      <c r="K89" s="28">
        <v>11359</v>
      </c>
      <c r="L89" s="29" t="str">
        <f t="shared" si="52"/>
        <v>Project Prepay 74</v>
      </c>
      <c r="M89" s="43">
        <f t="shared" si="44"/>
        <v>0</v>
      </c>
      <c r="N89" s="43">
        <f t="shared" si="45"/>
        <v>0</v>
      </c>
      <c r="O89" s="43">
        <f t="shared" si="46"/>
        <v>0</v>
      </c>
      <c r="P89" s="43">
        <f t="shared" si="42"/>
        <v>0</v>
      </c>
      <c r="Q89" s="43">
        <f t="shared" si="42"/>
        <v>0</v>
      </c>
      <c r="R89" s="43">
        <f t="shared" si="48"/>
        <v>0</v>
      </c>
      <c r="S89" s="43">
        <f t="shared" si="57"/>
        <v>0</v>
      </c>
      <c r="T89" s="43">
        <f t="shared" si="57"/>
        <v>0</v>
      </c>
      <c r="U89" s="43">
        <f t="shared" si="57"/>
        <v>1</v>
      </c>
      <c r="V89" s="43">
        <f t="shared" si="57"/>
        <v>0</v>
      </c>
      <c r="W89" s="43">
        <f t="shared" si="57"/>
        <v>0</v>
      </c>
      <c r="X89" s="43">
        <f t="shared" si="57"/>
        <v>0</v>
      </c>
      <c r="Y89" s="43">
        <f t="shared" si="57"/>
        <v>0</v>
      </c>
      <c r="Z89" s="43">
        <f t="shared" si="57"/>
        <v>0</v>
      </c>
      <c r="AA89" s="43">
        <f t="shared" si="57"/>
        <v>0</v>
      </c>
      <c r="AB89" s="30" t="e">
        <f t="shared" si="57"/>
        <v>#N/A</v>
      </c>
      <c r="AC89" s="73">
        <f t="shared" si="47"/>
        <v>9837.460465116279</v>
      </c>
      <c r="AD89" s="70">
        <f t="array" ref="AD89">(PRODUCT(IF($AW$15:$BE$15=AI89,$AW$17:$BE$17)))</f>
        <v>1.04</v>
      </c>
      <c r="AE89" s="71">
        <f t="shared" si="53"/>
        <v>-1521.539534883721</v>
      </c>
      <c r="AF89" s="71">
        <f t="shared" si="54"/>
        <v>9324.1714285714297</v>
      </c>
      <c r="AG89" s="71">
        <f t="shared" si="55"/>
        <v>-2034.8285714285703</v>
      </c>
      <c r="AH89" s="71">
        <f t="shared" si="56"/>
        <v>-513.2890365448493</v>
      </c>
      <c r="AI89" s="35">
        <v>3</v>
      </c>
    </row>
    <row r="90" spans="1:35" x14ac:dyDescent="0.2">
      <c r="A90" s="30">
        <v>367</v>
      </c>
      <c r="B90" s="123" t="s">
        <v>144</v>
      </c>
      <c r="C90" s="62">
        <v>4.8</v>
      </c>
      <c r="D90" s="28">
        <f t="shared" si="49"/>
        <v>403.20000000000005</v>
      </c>
      <c r="E90" s="28">
        <v>19700</v>
      </c>
      <c r="F90" s="28">
        <f t="shared" si="58"/>
        <v>8095.8904109589039</v>
      </c>
      <c r="G90" s="64">
        <f t="shared" si="50"/>
        <v>7286.3013698630139</v>
      </c>
      <c r="H90" s="27" t="s">
        <v>19</v>
      </c>
      <c r="I90" s="28">
        <f t="shared" si="51"/>
        <v>7689.5013698630137</v>
      </c>
      <c r="J90" s="28" t="s">
        <v>6</v>
      </c>
      <c r="K90" s="28">
        <v>8562</v>
      </c>
      <c r="L90" s="29" t="str">
        <f t="shared" si="52"/>
        <v>Project Prepay 75</v>
      </c>
      <c r="M90" s="43">
        <f t="shared" si="44"/>
        <v>0</v>
      </c>
      <c r="N90" s="43">
        <f t="shared" si="45"/>
        <v>0</v>
      </c>
      <c r="O90" s="43">
        <f t="shared" si="46"/>
        <v>0</v>
      </c>
      <c r="P90" s="43">
        <f t="shared" si="42"/>
        <v>0</v>
      </c>
      <c r="Q90" s="43">
        <f t="shared" si="42"/>
        <v>0</v>
      </c>
      <c r="R90" s="43">
        <f t="shared" si="48"/>
        <v>0</v>
      </c>
      <c r="S90" s="43">
        <f t="shared" si="57"/>
        <v>0</v>
      </c>
      <c r="T90" s="43">
        <f t="shared" si="57"/>
        <v>1</v>
      </c>
      <c r="U90" s="43">
        <f t="shared" si="57"/>
        <v>0</v>
      </c>
      <c r="V90" s="43">
        <f t="shared" si="57"/>
        <v>0</v>
      </c>
      <c r="W90" s="43">
        <f t="shared" si="57"/>
        <v>0</v>
      </c>
      <c r="X90" s="43">
        <f t="shared" si="57"/>
        <v>0</v>
      </c>
      <c r="Y90" s="43">
        <f t="shared" si="57"/>
        <v>0</v>
      </c>
      <c r="Z90" s="43">
        <f t="shared" si="57"/>
        <v>0</v>
      </c>
      <c r="AA90" s="43">
        <f t="shared" si="57"/>
        <v>0</v>
      </c>
      <c r="AB90" s="30" t="e">
        <f t="shared" si="57"/>
        <v>#N/A</v>
      </c>
      <c r="AC90" s="73">
        <f t="shared" si="47"/>
        <v>7689.5013698630137</v>
      </c>
      <c r="AD90" s="70">
        <f t="array" ref="AD90">(PRODUCT(IF($AW$15:$BE$15=AI90,$AW$17:$BE$17)))</f>
        <v>0.9</v>
      </c>
      <c r="AE90" s="71">
        <f t="shared" si="53"/>
        <v>-872.49863013698632</v>
      </c>
      <c r="AF90" s="71">
        <f t="shared" si="54"/>
        <v>8846.0571428571438</v>
      </c>
      <c r="AG90" s="71">
        <f t="shared" si="55"/>
        <v>284.05714285714384</v>
      </c>
      <c r="AH90" s="71">
        <f t="shared" si="56"/>
        <v>1156.5557729941302</v>
      </c>
      <c r="AI90" s="35">
        <v>2</v>
      </c>
    </row>
    <row r="91" spans="1:35" x14ac:dyDescent="0.2">
      <c r="A91" s="30">
        <v>366</v>
      </c>
      <c r="B91" s="123" t="s">
        <v>145</v>
      </c>
      <c r="C91" s="62">
        <v>3.05</v>
      </c>
      <c r="D91" s="28">
        <f t="shared" si="49"/>
        <v>256.2</v>
      </c>
      <c r="E91" s="28">
        <v>10700</v>
      </c>
      <c r="F91" s="28">
        <f t="shared" si="58"/>
        <v>4379.2633015006822</v>
      </c>
      <c r="G91" s="64">
        <f t="shared" si="50"/>
        <v>3897.5443383356073</v>
      </c>
      <c r="H91" s="27" t="s">
        <v>19</v>
      </c>
      <c r="I91" s="28">
        <f t="shared" si="51"/>
        <v>4153.7443383356076</v>
      </c>
      <c r="J91" s="28" t="s">
        <v>6</v>
      </c>
      <c r="K91" s="28">
        <v>8141</v>
      </c>
      <c r="L91" s="29" t="str">
        <f t="shared" si="52"/>
        <v>Project Prepay 76</v>
      </c>
      <c r="M91" s="43">
        <f t="shared" si="44"/>
        <v>0</v>
      </c>
      <c r="N91" s="43">
        <f t="shared" si="45"/>
        <v>0</v>
      </c>
      <c r="O91" s="43">
        <f t="shared" si="46"/>
        <v>0</v>
      </c>
      <c r="P91" s="43">
        <f t="shared" si="42"/>
        <v>0</v>
      </c>
      <c r="Q91" s="43">
        <f t="shared" si="42"/>
        <v>0</v>
      </c>
      <c r="R91" s="43">
        <f t="shared" si="48"/>
        <v>0</v>
      </c>
      <c r="S91" s="43">
        <f t="shared" si="57"/>
        <v>0</v>
      </c>
      <c r="T91" s="43">
        <f t="shared" si="57"/>
        <v>0</v>
      </c>
      <c r="U91" s="43">
        <f t="shared" si="57"/>
        <v>0</v>
      </c>
      <c r="V91" s="43">
        <f t="shared" si="57"/>
        <v>0</v>
      </c>
      <c r="W91" s="43">
        <f t="shared" si="57"/>
        <v>0</v>
      </c>
      <c r="X91" s="43">
        <f t="shared" si="57"/>
        <v>0</v>
      </c>
      <c r="Y91" s="43">
        <f t="shared" si="57"/>
        <v>0</v>
      </c>
      <c r="Z91" s="43">
        <f t="shared" si="57"/>
        <v>1</v>
      </c>
      <c r="AA91" s="43">
        <f t="shared" si="57"/>
        <v>0</v>
      </c>
      <c r="AB91" s="30" t="e">
        <f t="shared" si="57"/>
        <v>#N/A</v>
      </c>
      <c r="AC91" s="73">
        <f t="shared" si="47"/>
        <v>4153.7443383356076</v>
      </c>
      <c r="AD91" s="70">
        <f t="array" ref="AD91">(PRODUCT(IF($AW$15:$BE$15=AI91,$AW$17:$BE$17)))</f>
        <v>0.89</v>
      </c>
      <c r="AE91" s="71">
        <f t="shared" si="53"/>
        <v>-3987.2556616643924</v>
      </c>
      <c r="AF91" s="71">
        <f t="shared" si="54"/>
        <v>4841.9142857142851</v>
      </c>
      <c r="AG91" s="71">
        <f t="shared" si="55"/>
        <v>-3299.0857142857149</v>
      </c>
      <c r="AH91" s="71">
        <f t="shared" si="56"/>
        <v>688.16994737867753</v>
      </c>
      <c r="AI91" s="35">
        <v>8</v>
      </c>
    </row>
    <row r="92" spans="1:35" x14ac:dyDescent="0.2">
      <c r="A92" s="30">
        <v>365</v>
      </c>
      <c r="B92" s="123" t="s">
        <v>146</v>
      </c>
      <c r="C92" s="62">
        <v>18</v>
      </c>
      <c r="D92" s="28">
        <f t="shared" si="49"/>
        <v>1512</v>
      </c>
      <c r="E92" s="28">
        <v>52122</v>
      </c>
      <c r="F92" s="28">
        <f t="shared" si="58"/>
        <v>21777.994428969359</v>
      </c>
      <c r="G92" s="64">
        <f t="shared" si="50"/>
        <v>20471.314763231196</v>
      </c>
      <c r="H92" s="27" t="s">
        <v>19</v>
      </c>
      <c r="I92" s="28">
        <f t="shared" si="51"/>
        <v>21983.314763231196</v>
      </c>
      <c r="J92" s="28" t="s">
        <v>5</v>
      </c>
      <c r="K92" s="28">
        <v>4459</v>
      </c>
      <c r="L92" s="29" t="str">
        <f t="shared" si="52"/>
        <v>Project Prepay 77</v>
      </c>
      <c r="M92" s="43">
        <f t="shared" si="44"/>
        <v>0</v>
      </c>
      <c r="N92" s="43">
        <f t="shared" si="45"/>
        <v>0</v>
      </c>
      <c r="O92" s="43">
        <f t="shared" si="46"/>
        <v>0</v>
      </c>
      <c r="P92" s="43">
        <f t="shared" si="42"/>
        <v>0</v>
      </c>
      <c r="Q92" s="43">
        <f t="shared" si="42"/>
        <v>0</v>
      </c>
      <c r="R92" s="43">
        <f t="shared" si="48"/>
        <v>0</v>
      </c>
      <c r="S92" s="43">
        <f t="shared" si="57"/>
        <v>1</v>
      </c>
      <c r="T92" s="43">
        <f t="shared" si="57"/>
        <v>0</v>
      </c>
      <c r="U92" s="43">
        <f t="shared" si="57"/>
        <v>0</v>
      </c>
      <c r="V92" s="43">
        <f t="shared" si="57"/>
        <v>0</v>
      </c>
      <c r="W92" s="43">
        <f t="shared" si="57"/>
        <v>0</v>
      </c>
      <c r="X92" s="43">
        <f t="shared" si="57"/>
        <v>0</v>
      </c>
      <c r="Y92" s="43">
        <f t="shared" si="57"/>
        <v>0</v>
      </c>
      <c r="Z92" s="43">
        <f t="shared" si="57"/>
        <v>0</v>
      </c>
      <c r="AA92" s="43">
        <f t="shared" si="57"/>
        <v>0</v>
      </c>
      <c r="AB92" s="30" t="e">
        <f t="shared" si="57"/>
        <v>#N/A</v>
      </c>
      <c r="AC92" s="73">
        <f t="shared" si="47"/>
        <v>21983.314763231196</v>
      </c>
      <c r="AD92" s="70">
        <f t="array" ref="AD92">(PRODUCT(IF($AW$15:$BE$15=AI92,$AW$17:$BE$17)))</f>
        <v>0.94</v>
      </c>
      <c r="AE92" s="71">
        <f t="shared" si="53"/>
        <v>17524.314763231196</v>
      </c>
      <c r="AF92" s="71">
        <f t="shared" si="54"/>
        <v>23850</v>
      </c>
      <c r="AG92" s="71">
        <f t="shared" si="55"/>
        <v>19391</v>
      </c>
      <c r="AH92" s="71">
        <f t="shared" si="56"/>
        <v>1866.6852367688043</v>
      </c>
      <c r="AI92" s="35">
        <v>1</v>
      </c>
    </row>
    <row r="93" spans="1:35" x14ac:dyDescent="0.2">
      <c r="A93" s="30">
        <v>364</v>
      </c>
      <c r="B93" s="123" t="s">
        <v>147</v>
      </c>
      <c r="C93" s="62">
        <v>31.68</v>
      </c>
      <c r="D93" s="28">
        <f t="shared" si="49"/>
        <v>2661.12</v>
      </c>
      <c r="E93" s="28">
        <v>65704.320000000007</v>
      </c>
      <c r="F93" s="28">
        <f t="shared" si="58"/>
        <v>28650.139534883725</v>
      </c>
      <c r="G93" s="64">
        <f t="shared" si="50"/>
        <v>29796.145116279076</v>
      </c>
      <c r="H93" s="27" t="s">
        <v>19</v>
      </c>
      <c r="I93" s="28">
        <f t="shared" si="51"/>
        <v>32457.265116279075</v>
      </c>
      <c r="J93" s="28" t="s">
        <v>4</v>
      </c>
      <c r="K93" s="28">
        <v>25241</v>
      </c>
      <c r="L93" s="29" t="str">
        <f t="shared" si="52"/>
        <v>Project Prepay 78</v>
      </c>
      <c r="M93" s="43">
        <f t="shared" si="44"/>
        <v>0</v>
      </c>
      <c r="N93" s="43">
        <f t="shared" si="45"/>
        <v>0</v>
      </c>
      <c r="O93" s="43">
        <f t="shared" si="46"/>
        <v>0</v>
      </c>
      <c r="P93" s="43">
        <f t="shared" ref="P93:Q107" si="59">($AI93=P$1)*1</f>
        <v>0</v>
      </c>
      <c r="Q93" s="43">
        <f t="shared" si="59"/>
        <v>0</v>
      </c>
      <c r="R93" s="43">
        <f t="shared" si="48"/>
        <v>0</v>
      </c>
      <c r="S93" s="43">
        <f t="shared" si="57"/>
        <v>0</v>
      </c>
      <c r="T93" s="43">
        <f t="shared" si="57"/>
        <v>0</v>
      </c>
      <c r="U93" s="43">
        <f t="shared" si="57"/>
        <v>1</v>
      </c>
      <c r="V93" s="43">
        <f t="shared" si="57"/>
        <v>0</v>
      </c>
      <c r="W93" s="43">
        <f t="shared" si="57"/>
        <v>0</v>
      </c>
      <c r="X93" s="43">
        <f t="shared" si="57"/>
        <v>0</v>
      </c>
      <c r="Y93" s="43">
        <f t="shared" si="57"/>
        <v>0</v>
      </c>
      <c r="Z93" s="43">
        <f t="shared" si="57"/>
        <v>0</v>
      </c>
      <c r="AA93" s="43">
        <f t="shared" si="57"/>
        <v>0</v>
      </c>
      <c r="AB93" s="30" t="e">
        <f t="shared" si="57"/>
        <v>#N/A</v>
      </c>
      <c r="AC93" s="73">
        <f t="shared" si="47"/>
        <v>32457.265116279075</v>
      </c>
      <c r="AD93" s="70">
        <f t="array" ref="AD93">(PRODUCT(IF($AW$15:$BE$15=AI93,$AW$17:$BE$17)))</f>
        <v>1.04</v>
      </c>
      <c r="AE93" s="71">
        <f t="shared" si="53"/>
        <v>7216.2651162790753</v>
      </c>
      <c r="AF93" s="71">
        <f t="shared" si="54"/>
        <v>30820.114285714288</v>
      </c>
      <c r="AG93" s="71">
        <f t="shared" si="55"/>
        <v>5579.1142857142877</v>
      </c>
      <c r="AH93" s="71">
        <f t="shared" si="56"/>
        <v>-1637.1508305647876</v>
      </c>
      <c r="AI93" s="35">
        <v>3</v>
      </c>
    </row>
    <row r="94" spans="1:35" x14ac:dyDescent="0.2">
      <c r="A94" s="30">
        <v>363</v>
      </c>
      <c r="B94" s="123" t="s">
        <v>148</v>
      </c>
      <c r="C94" s="62">
        <v>4.2699999999999996</v>
      </c>
      <c r="D94" s="28">
        <f t="shared" si="49"/>
        <v>358.67999999999995</v>
      </c>
      <c r="E94" s="28">
        <v>19100</v>
      </c>
      <c r="F94" s="28">
        <f t="shared" si="58"/>
        <v>7980.5013927576601</v>
      </c>
      <c r="G94" s="64">
        <f t="shared" si="50"/>
        <v>7501.6713091922002</v>
      </c>
      <c r="H94" s="27" t="s">
        <v>19</v>
      </c>
      <c r="I94" s="28">
        <f t="shared" si="51"/>
        <v>7860.3513091922005</v>
      </c>
      <c r="J94" s="28" t="s">
        <v>3</v>
      </c>
      <c r="K94" s="28">
        <v>26969</v>
      </c>
      <c r="L94" s="29" t="str">
        <f t="shared" si="52"/>
        <v>Project Prepay 79</v>
      </c>
      <c r="M94" s="43">
        <f t="shared" si="44"/>
        <v>0</v>
      </c>
      <c r="N94" s="43">
        <f t="shared" si="45"/>
        <v>0</v>
      </c>
      <c r="O94" s="43">
        <f t="shared" si="46"/>
        <v>0</v>
      </c>
      <c r="P94" s="43">
        <f t="shared" si="59"/>
        <v>0</v>
      </c>
      <c r="Q94" s="43">
        <f t="shared" si="59"/>
        <v>0</v>
      </c>
      <c r="R94" s="43">
        <f t="shared" si="48"/>
        <v>0</v>
      </c>
      <c r="S94" s="43">
        <f t="shared" si="57"/>
        <v>1</v>
      </c>
      <c r="T94" s="43">
        <f t="shared" si="57"/>
        <v>0</v>
      </c>
      <c r="U94" s="43">
        <f t="shared" si="57"/>
        <v>0</v>
      </c>
      <c r="V94" s="43">
        <f t="shared" si="57"/>
        <v>0</v>
      </c>
      <c r="W94" s="43">
        <f t="shared" si="57"/>
        <v>0</v>
      </c>
      <c r="X94" s="43">
        <f t="shared" si="57"/>
        <v>0</v>
      </c>
      <c r="Y94" s="43">
        <f t="shared" si="57"/>
        <v>0</v>
      </c>
      <c r="Z94" s="43">
        <f t="shared" si="57"/>
        <v>0</v>
      </c>
      <c r="AA94" s="43">
        <f t="shared" si="57"/>
        <v>0</v>
      </c>
      <c r="AB94" s="30" t="e">
        <f t="shared" si="57"/>
        <v>#N/A</v>
      </c>
      <c r="AC94" s="73">
        <f t="shared" si="47"/>
        <v>7860.3513091922005</v>
      </c>
      <c r="AD94" s="70">
        <f t="array" ref="AD94">(PRODUCT(IF($AW$15:$BE$15=AI94,$AW$17:$BE$17)))</f>
        <v>0.94</v>
      </c>
      <c r="AE94" s="71">
        <f t="shared" si="53"/>
        <v>-19108.6486908078</v>
      </c>
      <c r="AF94" s="71">
        <f t="shared" si="54"/>
        <v>8544.3942857142847</v>
      </c>
      <c r="AG94" s="71">
        <f t="shared" si="55"/>
        <v>-18424.605714285717</v>
      </c>
      <c r="AH94" s="71">
        <f t="shared" si="56"/>
        <v>684.04297652208425</v>
      </c>
      <c r="AI94" s="35">
        <v>1</v>
      </c>
    </row>
    <row r="95" spans="1:35" x14ac:dyDescent="0.2">
      <c r="A95" s="30">
        <v>362</v>
      </c>
      <c r="B95" s="123" t="s">
        <v>149</v>
      </c>
      <c r="C95" s="62">
        <v>8.3699999999999992</v>
      </c>
      <c r="D95" s="28">
        <f t="shared" si="49"/>
        <v>703.07999999999993</v>
      </c>
      <c r="E95" s="28">
        <v>34300</v>
      </c>
      <c r="F95" s="28">
        <f t="shared" si="58"/>
        <v>14095.890410958904</v>
      </c>
      <c r="G95" s="64">
        <f t="shared" si="50"/>
        <v>12686.301369863013</v>
      </c>
      <c r="H95" s="27" t="s">
        <v>19</v>
      </c>
      <c r="I95" s="28">
        <f t="shared" si="51"/>
        <v>13389.381369863013</v>
      </c>
      <c r="J95" s="28" t="s">
        <v>6</v>
      </c>
      <c r="K95" s="28">
        <v>7860.35</v>
      </c>
      <c r="L95" s="29" t="str">
        <f t="shared" si="52"/>
        <v>Project Prepay 80</v>
      </c>
      <c r="M95" s="43">
        <f t="shared" si="44"/>
        <v>0</v>
      </c>
      <c r="N95" s="43">
        <f t="shared" si="45"/>
        <v>0</v>
      </c>
      <c r="O95" s="43">
        <f t="shared" si="46"/>
        <v>0</v>
      </c>
      <c r="P95" s="43">
        <f t="shared" si="59"/>
        <v>0</v>
      </c>
      <c r="Q95" s="43">
        <f t="shared" si="59"/>
        <v>0</v>
      </c>
      <c r="R95" s="43">
        <f t="shared" si="48"/>
        <v>0</v>
      </c>
      <c r="S95" s="43">
        <f t="shared" si="57"/>
        <v>0</v>
      </c>
      <c r="T95" s="43">
        <f t="shared" si="57"/>
        <v>1</v>
      </c>
      <c r="U95" s="43">
        <f t="shared" si="57"/>
        <v>0</v>
      </c>
      <c r="V95" s="43">
        <f t="shared" si="57"/>
        <v>0</v>
      </c>
      <c r="W95" s="43">
        <f t="shared" si="57"/>
        <v>0</v>
      </c>
      <c r="X95" s="43">
        <f t="shared" si="57"/>
        <v>0</v>
      </c>
      <c r="Y95" s="43">
        <f t="shared" si="57"/>
        <v>0</v>
      </c>
      <c r="Z95" s="43">
        <f t="shared" si="57"/>
        <v>0</v>
      </c>
      <c r="AA95" s="43">
        <f t="shared" si="57"/>
        <v>0</v>
      </c>
      <c r="AB95" s="30" t="e">
        <f t="shared" si="57"/>
        <v>#N/A</v>
      </c>
      <c r="AC95" s="73">
        <f t="shared" si="47"/>
        <v>13389.381369863013</v>
      </c>
      <c r="AD95" s="70">
        <f t="array" ref="AD95">(PRODUCT(IF($AW$15:$BE$15=AI95,$AW$17:$BE$17)))</f>
        <v>0.9</v>
      </c>
      <c r="AE95" s="71">
        <f>AC95-K95</f>
        <v>5529.0313698630125</v>
      </c>
      <c r="AF95" s="71">
        <f t="shared" si="54"/>
        <v>15403.08</v>
      </c>
      <c r="AG95" s="71">
        <f t="shared" si="55"/>
        <v>7542.73</v>
      </c>
      <c r="AH95" s="71">
        <f t="shared" si="56"/>
        <v>2013.698630136987</v>
      </c>
      <c r="AI95" s="35">
        <v>2</v>
      </c>
    </row>
    <row r="96" spans="1:35" x14ac:dyDescent="0.2">
      <c r="A96" s="30">
        <v>361</v>
      </c>
      <c r="B96" s="123" t="s">
        <v>150</v>
      </c>
      <c r="C96" s="62">
        <v>14.4</v>
      </c>
      <c r="D96" s="28">
        <f t="shared" si="49"/>
        <v>1209.5999999999999</v>
      </c>
      <c r="E96" s="28">
        <v>53900</v>
      </c>
      <c r="F96" s="28">
        <f t="shared" si="58"/>
        <v>22520.891364902505</v>
      </c>
      <c r="G96" s="64">
        <f t="shared" si="50"/>
        <v>21169.637883008352</v>
      </c>
      <c r="H96" s="27" t="s">
        <v>19</v>
      </c>
      <c r="I96" s="28">
        <f t="shared" si="51"/>
        <v>22379.237883008351</v>
      </c>
      <c r="J96" s="28" t="s">
        <v>5</v>
      </c>
      <c r="K96" s="28">
        <v>14175</v>
      </c>
      <c r="L96" s="29" t="str">
        <f t="shared" si="52"/>
        <v>Project Prepay 81</v>
      </c>
      <c r="M96" s="43">
        <f t="shared" si="44"/>
        <v>0</v>
      </c>
      <c r="N96" s="43">
        <f t="shared" si="45"/>
        <v>0</v>
      </c>
      <c r="O96" s="43">
        <f t="shared" si="46"/>
        <v>0</v>
      </c>
      <c r="P96" s="43">
        <f t="shared" si="59"/>
        <v>0</v>
      </c>
      <c r="Q96" s="43">
        <f t="shared" si="59"/>
        <v>0</v>
      </c>
      <c r="R96" s="43">
        <f t="shared" si="48"/>
        <v>0</v>
      </c>
      <c r="S96" s="43">
        <f t="shared" si="57"/>
        <v>0</v>
      </c>
      <c r="T96" s="43">
        <f t="shared" si="57"/>
        <v>0</v>
      </c>
      <c r="U96" s="43">
        <f t="shared" si="57"/>
        <v>0</v>
      </c>
      <c r="V96" s="43">
        <f t="shared" si="57"/>
        <v>1</v>
      </c>
      <c r="W96" s="43">
        <f t="shared" si="57"/>
        <v>0</v>
      </c>
      <c r="X96" s="43">
        <f t="shared" si="57"/>
        <v>0</v>
      </c>
      <c r="Y96" s="43">
        <f t="shared" si="57"/>
        <v>0</v>
      </c>
      <c r="Z96" s="43">
        <f t="shared" si="57"/>
        <v>0</v>
      </c>
      <c r="AA96" s="43">
        <f t="shared" si="57"/>
        <v>0</v>
      </c>
      <c r="AB96" s="30" t="e">
        <f t="shared" si="57"/>
        <v>#N/A</v>
      </c>
      <c r="AC96" s="73">
        <f t="shared" si="47"/>
        <v>22379.237883008351</v>
      </c>
      <c r="AD96" s="70">
        <f t="array" ref="AD96">(PRODUCT(IF($AW$15:$BE$15=AI96,$AW$17:$BE$17)))</f>
        <v>0.94</v>
      </c>
      <c r="AE96" s="71">
        <f t="shared" si="53"/>
        <v>8204.2378830083508</v>
      </c>
      <c r="AF96" s="71">
        <f t="shared" si="54"/>
        <v>24309.599999999999</v>
      </c>
      <c r="AG96" s="71">
        <f t="shared" si="55"/>
        <v>10134.599999999999</v>
      </c>
      <c r="AH96" s="71">
        <f t="shared" si="56"/>
        <v>1930.3621169916478</v>
      </c>
      <c r="AI96" s="35">
        <v>4</v>
      </c>
    </row>
    <row r="97" spans="1:35" x14ac:dyDescent="0.2">
      <c r="A97" s="30">
        <v>360</v>
      </c>
      <c r="B97" s="123" t="s">
        <v>151</v>
      </c>
      <c r="C97" s="62">
        <v>17.05</v>
      </c>
      <c r="D97" s="28">
        <f t="shared" si="49"/>
        <v>1432.2</v>
      </c>
      <c r="E97" s="28">
        <v>46500</v>
      </c>
      <c r="F97" s="28">
        <f t="shared" si="58"/>
        <v>20276.162790697676</v>
      </c>
      <c r="G97" s="64">
        <f t="shared" si="50"/>
        <v>21087.209302325584</v>
      </c>
      <c r="H97" s="27" t="s">
        <v>19</v>
      </c>
      <c r="I97" s="28">
        <f t="shared" si="51"/>
        <v>22519.409302325585</v>
      </c>
      <c r="J97" s="28" t="s">
        <v>5</v>
      </c>
      <c r="K97" s="28">
        <v>25790</v>
      </c>
      <c r="L97" s="29" t="str">
        <f t="shared" si="52"/>
        <v>Project Prepay 82</v>
      </c>
      <c r="M97" s="43">
        <f t="shared" si="44"/>
        <v>0</v>
      </c>
      <c r="N97" s="43">
        <f t="shared" si="45"/>
        <v>0</v>
      </c>
      <c r="O97" s="43">
        <f t="shared" si="46"/>
        <v>0</v>
      </c>
      <c r="P97" s="43">
        <f t="shared" si="59"/>
        <v>0</v>
      </c>
      <c r="Q97" s="43">
        <f t="shared" si="59"/>
        <v>0</v>
      </c>
      <c r="R97" s="43">
        <f t="shared" si="48"/>
        <v>0</v>
      </c>
      <c r="S97" s="43">
        <f t="shared" si="57"/>
        <v>0</v>
      </c>
      <c r="T97" s="43">
        <f t="shared" si="57"/>
        <v>0</v>
      </c>
      <c r="U97" s="43">
        <f t="shared" si="57"/>
        <v>1</v>
      </c>
      <c r="V97" s="43">
        <f t="shared" si="57"/>
        <v>0</v>
      </c>
      <c r="W97" s="43">
        <f t="shared" si="57"/>
        <v>0</v>
      </c>
      <c r="X97" s="43">
        <f t="shared" si="57"/>
        <v>0</v>
      </c>
      <c r="Y97" s="43">
        <f t="shared" si="57"/>
        <v>0</v>
      </c>
      <c r="Z97" s="43">
        <f t="shared" si="57"/>
        <v>0</v>
      </c>
      <c r="AA97" s="43">
        <f t="shared" si="57"/>
        <v>0</v>
      </c>
      <c r="AB97" s="30" t="e">
        <f t="shared" si="57"/>
        <v>#N/A</v>
      </c>
      <c r="AC97" s="73">
        <f t="shared" si="47"/>
        <v>22519.409302325585</v>
      </c>
      <c r="AD97" s="70">
        <f t="array" ref="AD97">(PRODUCT(IF($AW$15:$BE$15=AI97,$AW$17:$BE$17)))</f>
        <v>1.04</v>
      </c>
      <c r="AE97" s="71">
        <f t="shared" si="53"/>
        <v>-3270.5906976744154</v>
      </c>
      <c r="AF97" s="71">
        <f t="shared" si="54"/>
        <v>21360.771428571432</v>
      </c>
      <c r="AG97" s="71">
        <f t="shared" si="55"/>
        <v>-4429.2285714285681</v>
      </c>
      <c r="AH97" s="71">
        <f t="shared" si="56"/>
        <v>-1158.6378737541527</v>
      </c>
      <c r="AI97" s="35">
        <v>3</v>
      </c>
    </row>
    <row r="98" spans="1:35" x14ac:dyDescent="0.2">
      <c r="A98" s="30">
        <v>357</v>
      </c>
      <c r="B98" s="123" t="s">
        <v>152</v>
      </c>
      <c r="C98" s="62">
        <v>4.88</v>
      </c>
      <c r="D98" s="28">
        <f t="shared" si="49"/>
        <v>409.91999999999996</v>
      </c>
      <c r="E98" s="28">
        <v>15500</v>
      </c>
      <c r="F98" s="28">
        <f t="shared" si="58"/>
        <v>6758.7209302325582</v>
      </c>
      <c r="G98" s="64">
        <f t="shared" si="50"/>
        <v>7029.0697674418607</v>
      </c>
      <c r="H98" s="27" t="s">
        <v>19</v>
      </c>
      <c r="I98" s="28">
        <f>G98+D98</f>
        <v>7438.9897674418607</v>
      </c>
      <c r="J98" s="28" t="s">
        <v>6</v>
      </c>
      <c r="K98" s="28">
        <v>22716</v>
      </c>
      <c r="L98" s="29" t="str">
        <f t="shared" si="52"/>
        <v>Project Prepay 83</v>
      </c>
      <c r="M98" s="43">
        <f t="shared" si="44"/>
        <v>0</v>
      </c>
      <c r="N98" s="43">
        <f t="shared" si="45"/>
        <v>0</v>
      </c>
      <c r="O98" s="43">
        <f t="shared" si="46"/>
        <v>0</v>
      </c>
      <c r="P98" s="43">
        <f t="shared" si="59"/>
        <v>0</v>
      </c>
      <c r="Q98" s="43">
        <f t="shared" si="59"/>
        <v>0</v>
      </c>
      <c r="R98" s="43">
        <f t="shared" si="48"/>
        <v>0</v>
      </c>
      <c r="S98" s="43">
        <f t="shared" ref="S98:AA107" si="60">($AI98=S$1)*1</f>
        <v>0</v>
      </c>
      <c r="T98" s="43">
        <f t="shared" si="60"/>
        <v>0</v>
      </c>
      <c r="U98" s="43">
        <f t="shared" si="60"/>
        <v>1</v>
      </c>
      <c r="V98" s="43">
        <f t="shared" si="60"/>
        <v>0</v>
      </c>
      <c r="W98" s="43">
        <f t="shared" si="60"/>
        <v>0</v>
      </c>
      <c r="X98" s="43">
        <f t="shared" si="60"/>
        <v>0</v>
      </c>
      <c r="Y98" s="43">
        <f t="shared" si="60"/>
        <v>0</v>
      </c>
      <c r="Z98" s="43">
        <f t="shared" si="60"/>
        <v>0</v>
      </c>
      <c r="AA98" s="43">
        <f t="shared" si="60"/>
        <v>0</v>
      </c>
      <c r="AC98" s="73">
        <f t="shared" si="47"/>
        <v>7438.9897674418607</v>
      </c>
      <c r="AD98" s="70">
        <f t="array" ref="AD98">(PRODUCT(IF($AW$15:$BE$15=AI98,$AW$17:$BE$17)))</f>
        <v>1.04</v>
      </c>
      <c r="AE98" s="71">
        <f t="shared" si="53"/>
        <v>-15277.010232558139</v>
      </c>
      <c r="AF98" s="71">
        <f t="shared" si="54"/>
        <v>7052.7771428571432</v>
      </c>
      <c r="AG98" s="71">
        <f t="shared" si="55"/>
        <v>-15663.222857142857</v>
      </c>
      <c r="AH98" s="71">
        <f t="shared" si="56"/>
        <v>-386.21262458471756</v>
      </c>
      <c r="AI98" s="35">
        <v>3</v>
      </c>
    </row>
    <row r="99" spans="1:35" x14ac:dyDescent="0.2">
      <c r="A99" s="30">
        <v>350</v>
      </c>
      <c r="B99" s="123" t="s">
        <v>153</v>
      </c>
      <c r="C99" s="62">
        <v>5.0149999999999997</v>
      </c>
      <c r="D99" s="28">
        <f t="shared" si="49"/>
        <v>421.26</v>
      </c>
      <c r="E99" s="28">
        <v>37000</v>
      </c>
      <c r="F99" s="28">
        <f t="shared" si="58"/>
        <v>15459.610027855153</v>
      </c>
      <c r="G99" s="64">
        <f t="shared" si="50"/>
        <v>14532.033426183843</v>
      </c>
      <c r="H99" s="27" t="s">
        <v>19</v>
      </c>
      <c r="I99" s="28">
        <f t="shared" si="51"/>
        <v>14953.293426183844</v>
      </c>
      <c r="J99" s="28" t="s">
        <v>4</v>
      </c>
      <c r="K99" s="28">
        <v>6498</v>
      </c>
      <c r="L99" s="29" t="str">
        <f t="shared" si="52"/>
        <v>Project Prepay 84</v>
      </c>
      <c r="M99" s="43">
        <f t="shared" si="44"/>
        <v>0</v>
      </c>
      <c r="N99" s="43">
        <f t="shared" si="45"/>
        <v>0</v>
      </c>
      <c r="O99" s="43">
        <f t="shared" si="46"/>
        <v>0</v>
      </c>
      <c r="P99" s="43">
        <f t="shared" si="59"/>
        <v>0</v>
      </c>
      <c r="Q99" s="43">
        <f t="shared" si="59"/>
        <v>0</v>
      </c>
      <c r="R99" s="43">
        <f t="shared" si="48"/>
        <v>0</v>
      </c>
      <c r="S99" s="43">
        <f t="shared" si="60"/>
        <v>0</v>
      </c>
      <c r="T99" s="43">
        <f t="shared" si="60"/>
        <v>0</v>
      </c>
      <c r="U99" s="43">
        <f t="shared" si="60"/>
        <v>0</v>
      </c>
      <c r="V99" s="43">
        <f t="shared" si="60"/>
        <v>1</v>
      </c>
      <c r="W99" s="43">
        <f t="shared" si="60"/>
        <v>0</v>
      </c>
      <c r="X99" s="43">
        <f t="shared" si="60"/>
        <v>0</v>
      </c>
      <c r="Y99" s="43">
        <f t="shared" si="60"/>
        <v>0</v>
      </c>
      <c r="Z99" s="43">
        <f t="shared" si="60"/>
        <v>0</v>
      </c>
      <c r="AA99" s="43">
        <f t="shared" si="60"/>
        <v>0</v>
      </c>
      <c r="AC99" s="73">
        <f t="shared" si="47"/>
        <v>14953.293426183844</v>
      </c>
      <c r="AD99" s="70">
        <f t="array" ref="AD99">(PRODUCT(IF($AW$15:$BE$15=AI99,$AW$17:$BE$17)))</f>
        <v>0.94</v>
      </c>
      <c r="AE99" s="71">
        <f t="shared" si="53"/>
        <v>8455.2934261838436</v>
      </c>
      <c r="AF99" s="71">
        <f t="shared" si="54"/>
        <v>16278.402857142859</v>
      </c>
      <c r="AG99" s="71">
        <f t="shared" si="55"/>
        <v>9780.4028571428589</v>
      </c>
      <c r="AH99" s="71">
        <f t="shared" si="56"/>
        <v>1325.1094309590153</v>
      </c>
      <c r="AI99" s="35">
        <v>4</v>
      </c>
    </row>
    <row r="100" spans="1:35" x14ac:dyDescent="0.2">
      <c r="A100" s="30">
        <v>340</v>
      </c>
      <c r="B100" s="123" t="s">
        <v>154</v>
      </c>
      <c r="C100" s="62">
        <v>2.95</v>
      </c>
      <c r="D100" s="28">
        <f t="shared" si="49"/>
        <v>247.8</v>
      </c>
      <c r="E100" s="28">
        <v>13275</v>
      </c>
      <c r="F100" s="28">
        <f t="shared" si="58"/>
        <v>5546.6573816155988</v>
      </c>
      <c r="G100" s="64">
        <f t="shared" si="50"/>
        <v>5213.8579387186628</v>
      </c>
      <c r="H100" s="27" t="s">
        <v>19</v>
      </c>
      <c r="I100" s="28">
        <f t="shared" si="51"/>
        <v>5461.657938718663</v>
      </c>
      <c r="J100" s="28" t="s">
        <v>6</v>
      </c>
      <c r="K100" s="28">
        <v>14106</v>
      </c>
      <c r="L100" s="29" t="str">
        <f t="shared" si="52"/>
        <v>Project Prepay 85</v>
      </c>
      <c r="M100" s="43">
        <f t="shared" si="44"/>
        <v>0</v>
      </c>
      <c r="N100" s="43">
        <f t="shared" si="45"/>
        <v>0</v>
      </c>
      <c r="O100" s="43">
        <f t="shared" si="46"/>
        <v>0</v>
      </c>
      <c r="P100" s="43">
        <f t="shared" si="59"/>
        <v>0</v>
      </c>
      <c r="Q100" s="43">
        <f t="shared" si="59"/>
        <v>0</v>
      </c>
      <c r="R100" s="43">
        <f t="shared" si="48"/>
        <v>0</v>
      </c>
      <c r="S100" s="43">
        <f t="shared" si="60"/>
        <v>0</v>
      </c>
      <c r="T100" s="43">
        <f t="shared" si="60"/>
        <v>0</v>
      </c>
      <c r="U100" s="43">
        <f t="shared" si="60"/>
        <v>0</v>
      </c>
      <c r="V100" s="43">
        <f t="shared" si="60"/>
        <v>1</v>
      </c>
      <c r="W100" s="43">
        <f t="shared" si="60"/>
        <v>0</v>
      </c>
      <c r="X100" s="43">
        <f t="shared" si="60"/>
        <v>0</v>
      </c>
      <c r="Y100" s="43">
        <f t="shared" si="60"/>
        <v>0</v>
      </c>
      <c r="Z100" s="43">
        <f t="shared" si="60"/>
        <v>0</v>
      </c>
      <c r="AA100" s="43">
        <f t="shared" si="60"/>
        <v>0</v>
      </c>
      <c r="AC100" s="73">
        <f t="shared" si="47"/>
        <v>5461.657938718663</v>
      </c>
      <c r="AD100" s="70">
        <f t="array" ref="AD100">(PRODUCT(IF($AW$15:$BE$15=AI100,$AW$17:$BE$17)))</f>
        <v>0.94</v>
      </c>
      <c r="AE100" s="71">
        <f t="shared" si="53"/>
        <v>-8644.342061281337</v>
      </c>
      <c r="AF100" s="71">
        <f t="shared" si="54"/>
        <v>5937.0857142857139</v>
      </c>
      <c r="AG100" s="71">
        <f t="shared" si="55"/>
        <v>-8168.9142857142861</v>
      </c>
      <c r="AH100" s="71">
        <f t="shared" si="56"/>
        <v>475.42777556705096</v>
      </c>
      <c r="AI100" s="35">
        <v>4</v>
      </c>
    </row>
    <row r="101" spans="1:35" x14ac:dyDescent="0.2">
      <c r="A101" s="30">
        <v>339</v>
      </c>
      <c r="B101" s="123" t="s">
        <v>155</v>
      </c>
      <c r="C101" s="62">
        <v>9</v>
      </c>
      <c r="D101" s="28">
        <f t="shared" si="49"/>
        <v>756</v>
      </c>
      <c r="E101" s="28">
        <v>31100</v>
      </c>
      <c r="F101" s="28">
        <f t="shared" si="58"/>
        <v>13561.046511627908</v>
      </c>
      <c r="G101" s="64">
        <f t="shared" si="50"/>
        <v>14103.488372093025</v>
      </c>
      <c r="H101" s="27" t="s">
        <v>19</v>
      </c>
      <c r="I101" s="28">
        <f t="shared" si="51"/>
        <v>14859.488372093025</v>
      </c>
      <c r="J101" s="28" t="s">
        <v>6</v>
      </c>
      <c r="K101" s="28">
        <v>5462</v>
      </c>
      <c r="L101" s="29" t="str">
        <f t="shared" si="52"/>
        <v>Project Prepay 86</v>
      </c>
      <c r="M101" s="43">
        <f t="shared" si="44"/>
        <v>0</v>
      </c>
      <c r="N101" s="43">
        <f t="shared" si="45"/>
        <v>0</v>
      </c>
      <c r="O101" s="43">
        <f t="shared" si="46"/>
        <v>0</v>
      </c>
      <c r="P101" s="43">
        <f t="shared" si="59"/>
        <v>0</v>
      </c>
      <c r="Q101" s="43">
        <f t="shared" si="59"/>
        <v>0</v>
      </c>
      <c r="R101" s="43">
        <f t="shared" si="48"/>
        <v>0</v>
      </c>
      <c r="S101" s="43">
        <f t="shared" si="60"/>
        <v>0</v>
      </c>
      <c r="T101" s="43">
        <f t="shared" si="60"/>
        <v>0</v>
      </c>
      <c r="U101" s="43">
        <f t="shared" si="60"/>
        <v>1</v>
      </c>
      <c r="V101" s="43">
        <f t="shared" si="60"/>
        <v>0</v>
      </c>
      <c r="W101" s="43">
        <f t="shared" si="60"/>
        <v>0</v>
      </c>
      <c r="X101" s="43">
        <f t="shared" si="60"/>
        <v>0</v>
      </c>
      <c r="Y101" s="43">
        <f t="shared" si="60"/>
        <v>0</v>
      </c>
      <c r="Z101" s="43">
        <f t="shared" si="60"/>
        <v>0</v>
      </c>
      <c r="AA101" s="43">
        <f t="shared" si="60"/>
        <v>0</v>
      </c>
      <c r="AC101" s="73">
        <f t="shared" si="47"/>
        <v>14859.488372093025</v>
      </c>
      <c r="AD101" s="70">
        <f t="array" ref="AD101">(PRODUCT(IF($AW$15:$BE$15=AI101,$AW$17:$BE$17)))</f>
        <v>1.04</v>
      </c>
      <c r="AE101" s="71">
        <f t="shared" si="53"/>
        <v>9397.4883720930247</v>
      </c>
      <c r="AF101" s="71">
        <f t="shared" si="54"/>
        <v>14084.571428571429</v>
      </c>
      <c r="AG101" s="71">
        <f t="shared" si="55"/>
        <v>8622.5714285714294</v>
      </c>
      <c r="AH101" s="71">
        <f t="shared" si="56"/>
        <v>-774.91694352159539</v>
      </c>
      <c r="AI101" s="35">
        <v>3</v>
      </c>
    </row>
    <row r="102" spans="1:35" x14ac:dyDescent="0.2">
      <c r="A102" s="30">
        <v>320</v>
      </c>
      <c r="B102" s="123" t="s">
        <v>156</v>
      </c>
      <c r="C102" s="62">
        <v>6.44</v>
      </c>
      <c r="D102" s="28">
        <f t="shared" si="49"/>
        <v>540.96</v>
      </c>
      <c r="E102" s="28">
        <v>22400</v>
      </c>
      <c r="F102" s="28">
        <f t="shared" si="58"/>
        <v>9767.4418604651164</v>
      </c>
      <c r="G102" s="64">
        <f t="shared" si="50"/>
        <v>10158.139534883721</v>
      </c>
      <c r="H102" s="27" t="s">
        <v>19</v>
      </c>
      <c r="I102" s="28">
        <f t="shared" si="51"/>
        <v>10699.09953488372</v>
      </c>
      <c r="J102" s="28" t="s">
        <v>6</v>
      </c>
      <c r="K102" s="28">
        <v>12971</v>
      </c>
      <c r="L102" s="29" t="str">
        <f t="shared" si="52"/>
        <v>Project Prepay 87</v>
      </c>
      <c r="M102" s="43">
        <f t="shared" si="44"/>
        <v>0</v>
      </c>
      <c r="N102" s="43">
        <f t="shared" si="45"/>
        <v>0</v>
      </c>
      <c r="O102" s="43">
        <f t="shared" si="46"/>
        <v>0</v>
      </c>
      <c r="P102" s="43">
        <f t="shared" si="59"/>
        <v>0</v>
      </c>
      <c r="Q102" s="43">
        <f t="shared" si="59"/>
        <v>0</v>
      </c>
      <c r="R102" s="43">
        <f t="shared" si="48"/>
        <v>0</v>
      </c>
      <c r="S102" s="43">
        <f t="shared" si="60"/>
        <v>0</v>
      </c>
      <c r="T102" s="43">
        <f t="shared" si="60"/>
        <v>0</v>
      </c>
      <c r="U102" s="43">
        <f t="shared" si="60"/>
        <v>1</v>
      </c>
      <c r="V102" s="43">
        <f t="shared" si="60"/>
        <v>0</v>
      </c>
      <c r="W102" s="43">
        <f t="shared" si="60"/>
        <v>0</v>
      </c>
      <c r="X102" s="43">
        <f t="shared" si="60"/>
        <v>0</v>
      </c>
      <c r="Y102" s="43">
        <f t="shared" si="60"/>
        <v>0</v>
      </c>
      <c r="Z102" s="43">
        <f t="shared" si="60"/>
        <v>0</v>
      </c>
      <c r="AA102" s="43">
        <f t="shared" si="60"/>
        <v>0</v>
      </c>
      <c r="AC102" s="73">
        <f t="shared" si="47"/>
        <v>10699.09953488372</v>
      </c>
      <c r="AD102" s="70">
        <f t="array" ref="AD102">(PRODUCT(IF($AW$15:$BE$15=AI102,$AW$17:$BE$17)))</f>
        <v>1.04</v>
      </c>
      <c r="AE102" s="71">
        <f t="shared" si="53"/>
        <v>-2271.9004651162795</v>
      </c>
      <c r="AF102" s="71">
        <f t="shared" si="54"/>
        <v>10140.959999999999</v>
      </c>
      <c r="AG102" s="71">
        <f t="shared" si="55"/>
        <v>-2830.0400000000009</v>
      </c>
      <c r="AH102" s="71">
        <f t="shared" si="56"/>
        <v>-558.13953488372135</v>
      </c>
      <c r="AI102" s="35">
        <v>3</v>
      </c>
    </row>
    <row r="103" spans="1:35" x14ac:dyDescent="0.2">
      <c r="A103" s="30">
        <v>266</v>
      </c>
      <c r="B103" s="123" t="s">
        <v>157</v>
      </c>
      <c r="C103" s="62">
        <v>3.3</v>
      </c>
      <c r="D103" s="28">
        <f t="shared" si="49"/>
        <v>277.2</v>
      </c>
      <c r="E103" s="28">
        <v>14157</v>
      </c>
      <c r="F103" s="28">
        <f t="shared" si="58"/>
        <v>5915.1810584958221</v>
      </c>
      <c r="G103" s="64">
        <f t="shared" si="50"/>
        <v>5560.2701949860721</v>
      </c>
      <c r="H103" s="27" t="s">
        <v>19</v>
      </c>
      <c r="I103" s="28">
        <f t="shared" si="51"/>
        <v>5837.4701949860719</v>
      </c>
      <c r="J103" s="28" t="s">
        <v>6</v>
      </c>
      <c r="K103" s="28">
        <v>10756</v>
      </c>
      <c r="L103" s="29" t="str">
        <f t="shared" si="52"/>
        <v>Project Prepay 88</v>
      </c>
      <c r="M103" s="43">
        <f t="shared" si="44"/>
        <v>0</v>
      </c>
      <c r="N103" s="43">
        <f t="shared" si="45"/>
        <v>0</v>
      </c>
      <c r="O103" s="43">
        <f t="shared" si="46"/>
        <v>0</v>
      </c>
      <c r="P103" s="43">
        <f t="shared" si="59"/>
        <v>0</v>
      </c>
      <c r="Q103" s="43">
        <f t="shared" si="59"/>
        <v>0</v>
      </c>
      <c r="R103" s="43">
        <f t="shared" si="48"/>
        <v>0</v>
      </c>
      <c r="S103" s="43">
        <f t="shared" si="60"/>
        <v>1</v>
      </c>
      <c r="T103" s="43">
        <f t="shared" si="60"/>
        <v>0</v>
      </c>
      <c r="U103" s="43">
        <f t="shared" si="60"/>
        <v>0</v>
      </c>
      <c r="V103" s="43">
        <f t="shared" si="60"/>
        <v>0</v>
      </c>
      <c r="W103" s="43">
        <f t="shared" si="60"/>
        <v>0</v>
      </c>
      <c r="X103" s="43">
        <f t="shared" si="60"/>
        <v>0</v>
      </c>
      <c r="Y103" s="43">
        <f t="shared" si="60"/>
        <v>0</v>
      </c>
      <c r="Z103" s="43">
        <f t="shared" si="60"/>
        <v>0</v>
      </c>
      <c r="AA103" s="43">
        <f t="shared" si="60"/>
        <v>0</v>
      </c>
      <c r="AC103" s="73">
        <f t="shared" si="47"/>
        <v>5837.4701949860719</v>
      </c>
      <c r="AD103" s="70">
        <f t="array" ref="AD103">(PRODUCT(IF($AW$15:$BE$15=AI103,$AW$17:$BE$17)))</f>
        <v>0.94</v>
      </c>
      <c r="AE103" s="71">
        <f t="shared" si="53"/>
        <v>-4918.5298050139281</v>
      </c>
      <c r="AF103" s="71">
        <f t="shared" si="54"/>
        <v>6344.4857142857136</v>
      </c>
      <c r="AG103" s="71">
        <f t="shared" si="55"/>
        <v>-4411.5142857142864</v>
      </c>
      <c r="AH103" s="71">
        <f t="shared" si="56"/>
        <v>507.01551929964171</v>
      </c>
      <c r="AI103" s="35">
        <v>1</v>
      </c>
    </row>
    <row r="104" spans="1:35" x14ac:dyDescent="0.2">
      <c r="A104" s="30">
        <v>263</v>
      </c>
      <c r="B104" s="123" t="s">
        <v>158</v>
      </c>
      <c r="C104" s="62">
        <v>7.93</v>
      </c>
      <c r="D104" s="28">
        <f t="shared" si="49"/>
        <v>666.12</v>
      </c>
      <c r="E104" s="28">
        <v>28200</v>
      </c>
      <c r="F104" s="28">
        <f t="shared" si="58"/>
        <v>11541.609822646658</v>
      </c>
      <c r="G104" s="64">
        <f t="shared" si="50"/>
        <v>10272.032742155527</v>
      </c>
      <c r="H104" s="27" t="s">
        <v>19</v>
      </c>
      <c r="I104" s="28">
        <f t="shared" si="51"/>
        <v>10938.152742155527</v>
      </c>
      <c r="J104" s="28" t="s">
        <v>3</v>
      </c>
      <c r="K104" s="28">
        <v>5837</v>
      </c>
      <c r="L104" s="29" t="str">
        <f t="shared" si="52"/>
        <v>Project Prepay 89</v>
      </c>
      <c r="M104" s="43">
        <f t="shared" si="44"/>
        <v>0</v>
      </c>
      <c r="N104" s="43">
        <f t="shared" si="45"/>
        <v>0</v>
      </c>
      <c r="O104" s="43">
        <f t="shared" si="46"/>
        <v>0</v>
      </c>
      <c r="P104" s="43">
        <f t="shared" si="59"/>
        <v>0</v>
      </c>
      <c r="Q104" s="43">
        <f t="shared" si="59"/>
        <v>0</v>
      </c>
      <c r="R104" s="43">
        <f t="shared" si="48"/>
        <v>0</v>
      </c>
      <c r="S104" s="43">
        <f t="shared" si="60"/>
        <v>0</v>
      </c>
      <c r="T104" s="43">
        <f t="shared" si="60"/>
        <v>0</v>
      </c>
      <c r="U104" s="43">
        <f t="shared" si="60"/>
        <v>0</v>
      </c>
      <c r="V104" s="43">
        <f t="shared" si="60"/>
        <v>0</v>
      </c>
      <c r="W104" s="43">
        <f t="shared" si="60"/>
        <v>0</v>
      </c>
      <c r="X104" s="43">
        <f t="shared" si="60"/>
        <v>0</v>
      </c>
      <c r="Y104" s="43">
        <f t="shared" si="60"/>
        <v>0</v>
      </c>
      <c r="Z104" s="43">
        <f t="shared" si="60"/>
        <v>1</v>
      </c>
      <c r="AA104" s="43">
        <f t="shared" si="60"/>
        <v>0</v>
      </c>
      <c r="AC104" s="73">
        <f t="shared" si="47"/>
        <v>10938.152742155527</v>
      </c>
      <c r="AD104" s="70">
        <f t="array" ref="AD104">(PRODUCT(IF($AW$15:$BE$15=AI104,$AW$17:$BE$17)))</f>
        <v>0.89</v>
      </c>
      <c r="AE104" s="71">
        <f t="shared" si="53"/>
        <v>5101.1527421555274</v>
      </c>
      <c r="AF104" s="71">
        <f t="shared" si="54"/>
        <v>12751.834285714287</v>
      </c>
      <c r="AG104" s="71">
        <f t="shared" si="55"/>
        <v>6914.834285714287</v>
      </c>
      <c r="AH104" s="71">
        <f t="shared" si="56"/>
        <v>1813.6815435587596</v>
      </c>
      <c r="AI104" s="35">
        <v>8</v>
      </c>
    </row>
    <row r="105" spans="1:35" x14ac:dyDescent="0.2">
      <c r="A105" s="30">
        <v>252</v>
      </c>
      <c r="B105" s="123" t="s">
        <v>159</v>
      </c>
      <c r="C105" s="62">
        <v>4.13</v>
      </c>
      <c r="D105" s="28">
        <f t="shared" si="49"/>
        <v>346.92</v>
      </c>
      <c r="E105" s="28">
        <v>23100</v>
      </c>
      <c r="F105" s="28">
        <f t="shared" si="58"/>
        <v>9454.297407912687</v>
      </c>
      <c r="G105" s="64">
        <f t="shared" si="50"/>
        <v>8414.324693042292</v>
      </c>
      <c r="H105" s="27" t="s">
        <v>19</v>
      </c>
      <c r="I105" s="28">
        <f t="shared" si="51"/>
        <v>8761.2446930422921</v>
      </c>
      <c r="J105" s="28" t="s">
        <v>6</v>
      </c>
      <c r="K105" s="28">
        <v>11588.17</v>
      </c>
      <c r="L105" s="29" t="str">
        <f t="shared" si="52"/>
        <v>Project Prepay 90</v>
      </c>
      <c r="M105" s="43">
        <f t="shared" si="44"/>
        <v>0</v>
      </c>
      <c r="N105" s="43">
        <f t="shared" si="45"/>
        <v>0</v>
      </c>
      <c r="O105" s="43">
        <f t="shared" si="46"/>
        <v>0</v>
      </c>
      <c r="P105" s="43">
        <f t="shared" si="59"/>
        <v>0</v>
      </c>
      <c r="Q105" s="43">
        <f t="shared" si="59"/>
        <v>0</v>
      </c>
      <c r="R105" s="43">
        <f t="shared" si="48"/>
        <v>0</v>
      </c>
      <c r="S105" s="43">
        <f t="shared" si="60"/>
        <v>0</v>
      </c>
      <c r="T105" s="43">
        <f t="shared" si="60"/>
        <v>0</v>
      </c>
      <c r="U105" s="43">
        <f t="shared" si="60"/>
        <v>0</v>
      </c>
      <c r="V105" s="43">
        <f t="shared" si="60"/>
        <v>0</v>
      </c>
      <c r="W105" s="43">
        <f t="shared" si="60"/>
        <v>0</v>
      </c>
      <c r="X105" s="43">
        <f t="shared" si="60"/>
        <v>0</v>
      </c>
      <c r="Y105" s="43">
        <f t="shared" si="60"/>
        <v>0</v>
      </c>
      <c r="Z105" s="43">
        <f t="shared" si="60"/>
        <v>1</v>
      </c>
      <c r="AA105" s="43">
        <f t="shared" si="60"/>
        <v>0</v>
      </c>
      <c r="AC105" s="73">
        <f t="shared" si="47"/>
        <v>8761.2446930422921</v>
      </c>
      <c r="AD105" s="70">
        <f t="array" ref="AD105">(PRODUCT(IF($AW$15:$BE$15=AI105,$AW$17:$BE$17)))</f>
        <v>0.89</v>
      </c>
      <c r="AE105" s="71">
        <f t="shared" si="53"/>
        <v>-2826.925306957708</v>
      </c>
      <c r="AF105" s="71">
        <f t="shared" si="54"/>
        <v>10246.92</v>
      </c>
      <c r="AG105" s="71">
        <f t="shared" si="55"/>
        <v>-1341.25</v>
      </c>
      <c r="AH105" s="71">
        <f t="shared" si="56"/>
        <v>1485.675306957708</v>
      </c>
      <c r="AI105" s="35">
        <v>8</v>
      </c>
    </row>
    <row r="106" spans="1:35" x14ac:dyDescent="0.2">
      <c r="A106" s="30">
        <v>239</v>
      </c>
      <c r="B106" s="123" t="s">
        <v>160</v>
      </c>
      <c r="C106" s="62">
        <v>6.4050000000000002</v>
      </c>
      <c r="D106" s="28">
        <f t="shared" si="49"/>
        <v>538.02</v>
      </c>
      <c r="E106" s="28">
        <v>28600</v>
      </c>
      <c r="F106" s="28">
        <f t="shared" si="58"/>
        <v>11949.860724233982</v>
      </c>
      <c r="G106" s="64">
        <f t="shared" si="50"/>
        <v>11232.869080779943</v>
      </c>
      <c r="H106" s="27" t="s">
        <v>19</v>
      </c>
      <c r="I106" s="28">
        <f t="shared" si="51"/>
        <v>11770.889080779943</v>
      </c>
      <c r="J106" s="28" t="s">
        <v>3</v>
      </c>
      <c r="K106" s="28">
        <v>10881</v>
      </c>
      <c r="L106" s="29" t="str">
        <f t="shared" si="52"/>
        <v>Project Prepay 91</v>
      </c>
      <c r="M106" s="43">
        <f t="shared" si="44"/>
        <v>0</v>
      </c>
      <c r="N106" s="43">
        <f t="shared" si="45"/>
        <v>0</v>
      </c>
      <c r="O106" s="43">
        <f t="shared" si="46"/>
        <v>0</v>
      </c>
      <c r="P106" s="43">
        <f t="shared" si="59"/>
        <v>0</v>
      </c>
      <c r="Q106" s="43">
        <f t="shared" si="59"/>
        <v>0</v>
      </c>
      <c r="R106" s="43">
        <f t="shared" si="48"/>
        <v>0</v>
      </c>
      <c r="S106" s="43">
        <f t="shared" si="60"/>
        <v>1</v>
      </c>
      <c r="T106" s="43">
        <f t="shared" si="60"/>
        <v>0</v>
      </c>
      <c r="U106" s="43">
        <f t="shared" si="60"/>
        <v>0</v>
      </c>
      <c r="V106" s="43">
        <f t="shared" si="60"/>
        <v>0</v>
      </c>
      <c r="W106" s="43">
        <f t="shared" si="60"/>
        <v>0</v>
      </c>
      <c r="X106" s="43">
        <f t="shared" si="60"/>
        <v>0</v>
      </c>
      <c r="Y106" s="43">
        <f t="shared" si="60"/>
        <v>0</v>
      </c>
      <c r="Z106" s="43">
        <f t="shared" si="60"/>
        <v>0</v>
      </c>
      <c r="AA106" s="43">
        <f t="shared" si="60"/>
        <v>0</v>
      </c>
      <c r="AC106" s="73">
        <f t="shared" si="47"/>
        <v>11770.889080779943</v>
      </c>
      <c r="AD106" s="70">
        <f t="array" ref="AD106">(PRODUCT(IF($AW$15:$BE$15=AI106,$AW$17:$BE$17)))</f>
        <v>0.94</v>
      </c>
      <c r="AE106" s="71">
        <f t="shared" si="53"/>
        <v>889.88908077994347</v>
      </c>
      <c r="AF106" s="71">
        <f t="shared" si="54"/>
        <v>12795.162857142859</v>
      </c>
      <c r="AG106" s="71">
        <f t="shared" si="55"/>
        <v>1914.1628571428591</v>
      </c>
      <c r="AH106" s="71">
        <f t="shared" si="56"/>
        <v>1024.2737763629157</v>
      </c>
      <c r="AI106" s="35">
        <v>1</v>
      </c>
    </row>
    <row r="107" spans="1:35" s="5" customFormat="1" x14ac:dyDescent="0.2">
      <c r="A107" s="43"/>
      <c r="B107" s="107"/>
      <c r="C107" s="108"/>
      <c r="D107" s="109">
        <f t="shared" si="49"/>
        <v>0</v>
      </c>
      <c r="E107" s="109"/>
      <c r="F107" s="109">
        <f t="shared" si="58"/>
        <v>0</v>
      </c>
      <c r="G107" s="110">
        <f t="shared" si="50"/>
        <v>0</v>
      </c>
      <c r="H107" s="107"/>
      <c r="I107" s="109">
        <f t="shared" si="51"/>
        <v>0</v>
      </c>
      <c r="J107" s="109"/>
      <c r="K107" s="109">
        <v>11770.89</v>
      </c>
      <c r="L107" s="111">
        <f t="shared" si="52"/>
        <v>0</v>
      </c>
      <c r="M107" s="43">
        <f t="shared" si="44"/>
        <v>0</v>
      </c>
      <c r="N107" s="43">
        <f t="shared" si="45"/>
        <v>0</v>
      </c>
      <c r="O107" s="43">
        <f t="shared" si="46"/>
        <v>0</v>
      </c>
      <c r="P107" s="43">
        <f t="shared" si="59"/>
        <v>0</v>
      </c>
      <c r="Q107" s="43">
        <f t="shared" si="59"/>
        <v>0</v>
      </c>
      <c r="R107" s="43">
        <f t="shared" si="48"/>
        <v>0</v>
      </c>
      <c r="S107" s="43">
        <f t="shared" si="60"/>
        <v>0</v>
      </c>
      <c r="T107" s="43">
        <f t="shared" si="60"/>
        <v>0</v>
      </c>
      <c r="U107" s="43">
        <f t="shared" si="60"/>
        <v>0</v>
      </c>
      <c r="V107" s="43">
        <f t="shared" si="60"/>
        <v>1</v>
      </c>
      <c r="W107" s="43">
        <f t="shared" si="60"/>
        <v>0</v>
      </c>
      <c r="X107" s="43">
        <f t="shared" si="60"/>
        <v>0</v>
      </c>
      <c r="Y107" s="43">
        <f t="shared" si="60"/>
        <v>0</v>
      </c>
      <c r="Z107" s="43">
        <f t="shared" si="60"/>
        <v>0</v>
      </c>
      <c r="AA107" s="43">
        <f t="shared" si="60"/>
        <v>0</v>
      </c>
      <c r="AC107" s="112">
        <f t="shared" si="47"/>
        <v>0</v>
      </c>
      <c r="AD107" s="113">
        <f t="array" ref="AD107">(PRODUCT(IF($AW$15:$BE$15=AI107,$AW$17:$BE$17)))</f>
        <v>0.94</v>
      </c>
      <c r="AE107" s="114">
        <f t="shared" si="53"/>
        <v>-11770.89</v>
      </c>
      <c r="AF107" s="114">
        <f t="shared" si="54"/>
        <v>0</v>
      </c>
      <c r="AG107" s="114">
        <f t="shared" si="55"/>
        <v>-11770.89</v>
      </c>
      <c r="AH107" s="114">
        <f t="shared" si="56"/>
        <v>0</v>
      </c>
      <c r="AI107" s="43">
        <v>4</v>
      </c>
    </row>
    <row r="116" spans="6:6" x14ac:dyDescent="0.2">
      <c r="F116" s="78">
        <f>IF(AI116=0,(E116/(1-0.3))*0.3,(E116/(1-0.3*AD116))*0.3)</f>
        <v>0</v>
      </c>
    </row>
  </sheetData>
  <autoFilter ref="M9:AA107" xr:uid="{20087C40-355A-40B8-80A9-5E7973AF7C78}"/>
  <mergeCells count="1">
    <mergeCell ref="AI3:AI4"/>
  </mergeCells>
  <phoneticPr fontId="16" type="noConversion"/>
  <conditionalFormatting sqref="AC10:AD107 AE15:AH107">
    <cfRule type="cellIs" dxfId="3" priority="8" operator="equal">
      <formula>0</formula>
    </cfRule>
  </conditionalFormatting>
  <conditionalFormatting sqref="M10:AB10 AB11:AB14 M11:AA107">
    <cfRule type="cellIs" dxfId="2" priority="3" operator="equal">
      <formula>1</formula>
    </cfRule>
  </conditionalFormatting>
  <conditionalFormatting sqref="M8:Z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2">
          <controlPr defaultSize="0" autoLine="0" r:id="rId5">
            <anchor moveWithCells="1">
              <from>
                <xdr:col>0</xdr:col>
                <xdr:colOff>38100</xdr:colOff>
                <xdr:row>3</xdr:row>
                <xdr:rowOff>209550</xdr:rowOff>
              </from>
              <to>
                <xdr:col>2</xdr:col>
                <xdr:colOff>352425</xdr:colOff>
                <xdr:row>5</xdr:row>
                <xdr:rowOff>123825</xdr:rowOff>
              </to>
            </anchor>
          </controlPr>
        </control>
      </mc:Choice>
      <mc:Fallback>
        <control shapeId="1032" r:id="rId4" name="CommandButton2"/>
      </mc:Fallback>
    </mc:AlternateContent>
    <mc:AlternateContent xmlns:mc="http://schemas.openxmlformats.org/markup-compatibility/2006">
      <mc:Choice Requires="x14">
        <control shapeId="1030" r:id="rId6" name="Original">
          <controlPr defaultSize="0" autoLine="0" r:id="rId7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2</xdr:col>
                <xdr:colOff>361950</xdr:colOff>
                <xdr:row>3</xdr:row>
                <xdr:rowOff>180975</xdr:rowOff>
              </to>
            </anchor>
          </controlPr>
        </control>
      </mc:Choice>
      <mc:Fallback>
        <control shapeId="1030" r:id="rId6" name="Original"/>
      </mc:Fallback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PythonOutput">
            <anchor moveWithCells="1" sizeWithCells="1">
              <from>
                <xdr:col>47</xdr:col>
                <xdr:colOff>952500</xdr:colOff>
                <xdr:row>23</xdr:row>
                <xdr:rowOff>9525</xdr:rowOff>
              </from>
              <to>
                <xdr:col>51</xdr:col>
                <xdr:colOff>723900</xdr:colOff>
                <xdr:row>25</xdr:row>
                <xdr:rowOff>104775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EB9B9-C5CC-412F-ACE8-0915E6269B1E}">
  <sheetPr codeName="Sheet6"/>
  <dimension ref="A1:B13"/>
  <sheetViews>
    <sheetView workbookViewId="0">
      <selection activeCell="B13" sqref="B13"/>
    </sheetView>
  </sheetViews>
  <sheetFormatPr defaultRowHeight="14.25" x14ac:dyDescent="0.2"/>
  <cols>
    <col min="2" max="2" width="46.25" bestFit="1" customWidth="1"/>
  </cols>
  <sheetData>
    <row r="1" spans="1:2" ht="15" thickBot="1" x14ac:dyDescent="0.25"/>
    <row r="2" spans="1:2" ht="16.5" thickTop="1" thickBot="1" x14ac:dyDescent="0.25">
      <c r="A2" s="103" t="s">
        <v>4</v>
      </c>
      <c r="B2" s="103" t="s">
        <v>53</v>
      </c>
    </row>
    <row r="3" spans="1:2" ht="60.75" thickBot="1" x14ac:dyDescent="0.25">
      <c r="A3" s="104" t="s">
        <v>23</v>
      </c>
      <c r="B3" s="105" t="s">
        <v>54</v>
      </c>
    </row>
    <row r="4" spans="1:2" ht="15.75" thickBot="1" x14ac:dyDescent="0.25">
      <c r="A4" s="104" t="s">
        <v>4</v>
      </c>
      <c r="B4" s="105" t="s">
        <v>53</v>
      </c>
    </row>
    <row r="5" spans="1:2" ht="60.75" thickBot="1" x14ac:dyDescent="0.25">
      <c r="A5" s="104" t="s">
        <v>25</v>
      </c>
      <c r="B5" s="105" t="s">
        <v>55</v>
      </c>
    </row>
    <row r="6" spans="1:2" ht="30.75" thickBot="1" x14ac:dyDescent="0.25">
      <c r="A6" s="104" t="s">
        <v>12</v>
      </c>
      <c r="B6" s="105" t="s">
        <v>56</v>
      </c>
    </row>
    <row r="7" spans="1:2" ht="30.75" thickBot="1" x14ac:dyDescent="0.25">
      <c r="A7" s="104" t="s">
        <v>3</v>
      </c>
      <c r="B7" s="105" t="s">
        <v>57</v>
      </c>
    </row>
    <row r="8" spans="1:2" ht="30.75" thickBot="1" x14ac:dyDescent="0.25">
      <c r="A8" s="106" t="s">
        <v>6</v>
      </c>
      <c r="B8" s="105" t="s">
        <v>58</v>
      </c>
    </row>
    <row r="9" spans="1:2" ht="30.75" thickBot="1" x14ac:dyDescent="0.25">
      <c r="A9" s="104" t="s">
        <v>5</v>
      </c>
      <c r="B9" s="105" t="s">
        <v>59</v>
      </c>
    </row>
    <row r="10" spans="1:2" ht="30.75" thickBot="1" x14ac:dyDescent="0.25">
      <c r="A10" s="104" t="s">
        <v>16</v>
      </c>
      <c r="B10" s="105" t="s">
        <v>60</v>
      </c>
    </row>
    <row r="11" spans="1:2" ht="30.75" thickBot="1" x14ac:dyDescent="0.25">
      <c r="A11" s="104" t="s">
        <v>22</v>
      </c>
      <c r="B11" s="105" t="s">
        <v>61</v>
      </c>
    </row>
    <row r="12" spans="1:2" ht="60.75" thickBot="1" x14ac:dyDescent="0.25">
      <c r="A12" s="104" t="s">
        <v>26</v>
      </c>
      <c r="B12" s="105" t="s">
        <v>62</v>
      </c>
    </row>
    <row r="13" spans="1:2" ht="75.75" thickBot="1" x14ac:dyDescent="0.25">
      <c r="A13" s="106" t="s">
        <v>24</v>
      </c>
      <c r="B13" s="105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E8D4-36A9-4F5C-80C0-1207B7CB1F22}">
  <dimension ref="A1:J16"/>
  <sheetViews>
    <sheetView workbookViewId="0">
      <selection activeCell="A8" sqref="A8:J16"/>
    </sheetView>
  </sheetViews>
  <sheetFormatPr defaultRowHeight="14.25" x14ac:dyDescent="0.2"/>
  <sheetData>
    <row r="1" spans="1:10" ht="57" x14ac:dyDescent="0.2">
      <c r="A1" t="s">
        <v>0</v>
      </c>
      <c r="B1" t="s">
        <v>27</v>
      </c>
      <c r="C1" t="s">
        <v>1</v>
      </c>
      <c r="D1" t="s">
        <v>50</v>
      </c>
      <c r="E1" s="92" t="s">
        <v>51</v>
      </c>
      <c r="F1" s="92" t="s">
        <v>52</v>
      </c>
      <c r="G1" t="s">
        <v>15</v>
      </c>
      <c r="H1" t="s">
        <v>28</v>
      </c>
      <c r="I1" t="s">
        <v>28</v>
      </c>
      <c r="J1" t="s">
        <v>29</v>
      </c>
    </row>
    <row r="2" spans="1:10" x14ac:dyDescent="0.2">
      <c r="A2" t="s">
        <v>5</v>
      </c>
      <c r="B2" s="89">
        <v>1</v>
      </c>
      <c r="C2" s="90">
        <v>125500</v>
      </c>
      <c r="D2" s="90">
        <v>251000</v>
      </c>
      <c r="E2" s="90">
        <v>250086</v>
      </c>
      <c r="F2" t="s">
        <v>49</v>
      </c>
      <c r="G2" t="s">
        <v>49</v>
      </c>
      <c r="H2" t="s">
        <v>49</v>
      </c>
      <c r="I2" t="s">
        <v>49</v>
      </c>
      <c r="J2" t="s">
        <v>18</v>
      </c>
    </row>
    <row r="3" spans="1:10" x14ac:dyDescent="0.2">
      <c r="A3" t="s">
        <v>12</v>
      </c>
      <c r="B3" s="89">
        <v>1</v>
      </c>
      <c r="C3" s="90">
        <v>93000</v>
      </c>
      <c r="D3" s="90">
        <v>186000</v>
      </c>
      <c r="E3" s="90">
        <v>71605</v>
      </c>
      <c r="F3" t="s">
        <v>49</v>
      </c>
      <c r="G3" s="90">
        <v>114395</v>
      </c>
      <c r="H3" s="90">
        <v>114395</v>
      </c>
      <c r="I3" s="90">
        <v>228790</v>
      </c>
      <c r="J3" t="s">
        <v>18</v>
      </c>
    </row>
    <row r="4" spans="1:10" x14ac:dyDescent="0.2">
      <c r="A4" t="s">
        <v>23</v>
      </c>
      <c r="B4" s="89">
        <v>1</v>
      </c>
      <c r="C4" s="90">
        <v>37500</v>
      </c>
      <c r="D4" s="90">
        <v>75000</v>
      </c>
      <c r="E4" t="s">
        <v>49</v>
      </c>
      <c r="F4" s="90">
        <v>18193</v>
      </c>
      <c r="G4" s="90">
        <v>56807</v>
      </c>
      <c r="H4" s="90">
        <v>56807</v>
      </c>
      <c r="I4" s="90">
        <v>113614</v>
      </c>
      <c r="J4" t="s">
        <v>18</v>
      </c>
    </row>
    <row r="5" spans="1:10" x14ac:dyDescent="0.2">
      <c r="A5" t="s">
        <v>24</v>
      </c>
      <c r="B5" s="89">
        <v>1</v>
      </c>
      <c r="C5" s="90">
        <v>57000</v>
      </c>
      <c r="D5" s="90">
        <v>114000</v>
      </c>
      <c r="E5" s="90">
        <v>83949</v>
      </c>
      <c r="F5" s="90">
        <v>0</v>
      </c>
      <c r="G5" s="90">
        <v>30050</v>
      </c>
      <c r="H5" s="90">
        <v>30050</v>
      </c>
      <c r="I5" s="90">
        <v>60101</v>
      </c>
      <c r="J5" t="s">
        <v>18</v>
      </c>
    </row>
    <row r="6" spans="1:10" x14ac:dyDescent="0.2">
      <c r="A6" t="s">
        <v>26</v>
      </c>
      <c r="B6" s="89">
        <v>1</v>
      </c>
      <c r="C6" s="90">
        <v>175000</v>
      </c>
      <c r="D6" s="90">
        <v>350000</v>
      </c>
      <c r="E6" s="90">
        <v>61175</v>
      </c>
      <c r="F6" t="s">
        <v>49</v>
      </c>
      <c r="G6" s="90">
        <v>288825</v>
      </c>
      <c r="H6" s="90">
        <v>288825</v>
      </c>
      <c r="I6" s="90">
        <v>577650</v>
      </c>
      <c r="J6" t="s">
        <v>18</v>
      </c>
    </row>
    <row r="7" spans="1:10" x14ac:dyDescent="0.2">
      <c r="A7" t="s">
        <v>6</v>
      </c>
      <c r="B7" s="89">
        <v>1</v>
      </c>
      <c r="C7" s="90">
        <v>31000</v>
      </c>
      <c r="D7" s="90">
        <v>62000</v>
      </c>
      <c r="E7" t="s">
        <v>49</v>
      </c>
      <c r="F7" t="s">
        <v>49</v>
      </c>
      <c r="G7" s="90">
        <v>62000</v>
      </c>
      <c r="H7" s="90">
        <v>62000</v>
      </c>
      <c r="I7" s="90">
        <v>124000</v>
      </c>
      <c r="J7" t="s">
        <v>18</v>
      </c>
    </row>
    <row r="8" spans="1:10" x14ac:dyDescent="0.2">
      <c r="A8" t="s">
        <v>3</v>
      </c>
      <c r="B8" s="89">
        <v>1</v>
      </c>
      <c r="C8" s="90">
        <v>225291</v>
      </c>
      <c r="D8" s="90">
        <v>225291</v>
      </c>
      <c r="E8" s="90">
        <v>225448</v>
      </c>
      <c r="F8" s="91">
        <v>1.24</v>
      </c>
      <c r="G8" t="s">
        <v>49</v>
      </c>
      <c r="H8" t="s">
        <v>49</v>
      </c>
      <c r="I8" t="s">
        <v>49</v>
      </c>
      <c r="J8" t="s">
        <v>19</v>
      </c>
    </row>
    <row r="9" spans="1:10" x14ac:dyDescent="0.2">
      <c r="A9" t="s">
        <v>4</v>
      </c>
      <c r="B9" s="89">
        <v>1</v>
      </c>
      <c r="C9" s="90">
        <v>238000</v>
      </c>
      <c r="D9" s="90">
        <v>238000</v>
      </c>
      <c r="E9" s="90">
        <v>221597</v>
      </c>
      <c r="F9" s="90">
        <v>2</v>
      </c>
      <c r="G9" t="s">
        <v>49</v>
      </c>
      <c r="H9" t="s">
        <v>49</v>
      </c>
      <c r="I9" t="s">
        <v>49</v>
      </c>
      <c r="J9" t="s">
        <v>19</v>
      </c>
    </row>
    <row r="10" spans="1:10" x14ac:dyDescent="0.2">
      <c r="A10" t="s">
        <v>5</v>
      </c>
      <c r="B10" s="89">
        <v>1</v>
      </c>
      <c r="C10" s="90">
        <v>261000</v>
      </c>
      <c r="D10" s="90">
        <v>261000</v>
      </c>
      <c r="E10" s="90">
        <v>260490</v>
      </c>
      <c r="F10" s="90">
        <v>1</v>
      </c>
      <c r="G10" t="s">
        <v>49</v>
      </c>
      <c r="H10" t="s">
        <v>49</v>
      </c>
      <c r="I10" t="s">
        <v>49</v>
      </c>
      <c r="J10" t="s">
        <v>19</v>
      </c>
    </row>
    <row r="11" spans="1:10" x14ac:dyDescent="0.2">
      <c r="A11" t="s">
        <v>6</v>
      </c>
      <c r="B11" s="89">
        <v>1</v>
      </c>
      <c r="C11" s="90">
        <v>237000</v>
      </c>
      <c r="D11" s="90">
        <v>237000</v>
      </c>
      <c r="E11" s="90">
        <v>242316</v>
      </c>
      <c r="F11" s="90">
        <v>3</v>
      </c>
      <c r="G11" t="s">
        <v>49</v>
      </c>
      <c r="H11" t="s">
        <v>49</v>
      </c>
      <c r="I11" t="s">
        <v>49</v>
      </c>
      <c r="J11" t="s">
        <v>19</v>
      </c>
    </row>
    <row r="12" spans="1:10" x14ac:dyDescent="0.2">
      <c r="A12" t="s">
        <v>22</v>
      </c>
      <c r="B12" s="89">
        <v>1</v>
      </c>
      <c r="C12" s="90">
        <v>7361</v>
      </c>
      <c r="D12" s="90">
        <v>7361</v>
      </c>
      <c r="E12" s="90">
        <v>7361</v>
      </c>
      <c r="F12" s="90">
        <v>0</v>
      </c>
      <c r="G12" t="s">
        <v>49</v>
      </c>
      <c r="H12" t="s">
        <v>49</v>
      </c>
      <c r="I12" t="s">
        <v>49</v>
      </c>
      <c r="J12" t="s">
        <v>19</v>
      </c>
    </row>
    <row r="13" spans="1:10" x14ac:dyDescent="0.2">
      <c r="A13" t="s">
        <v>12</v>
      </c>
      <c r="B13" s="89">
        <v>1</v>
      </c>
      <c r="C13" s="90">
        <v>60000</v>
      </c>
      <c r="D13" s="90">
        <v>60000</v>
      </c>
      <c r="E13" s="90">
        <v>185608</v>
      </c>
      <c r="F13" t="s">
        <v>49</v>
      </c>
      <c r="G13" t="s">
        <v>49</v>
      </c>
      <c r="H13" t="s">
        <v>49</v>
      </c>
      <c r="I13" t="s">
        <v>49</v>
      </c>
      <c r="J13" t="s">
        <v>19</v>
      </c>
    </row>
    <row r="14" spans="1:10" x14ac:dyDescent="0.2">
      <c r="A14" t="s">
        <v>23</v>
      </c>
      <c r="B14" s="89">
        <v>1</v>
      </c>
      <c r="C14" s="90">
        <v>12500</v>
      </c>
      <c r="D14" s="90">
        <v>12500</v>
      </c>
      <c r="E14" s="90">
        <v>113639</v>
      </c>
      <c r="F14" t="s">
        <v>49</v>
      </c>
      <c r="G14" t="s">
        <v>49</v>
      </c>
      <c r="H14" t="s">
        <v>49</v>
      </c>
      <c r="I14" t="s">
        <v>49</v>
      </c>
      <c r="J14" t="s">
        <v>19</v>
      </c>
    </row>
    <row r="15" spans="1:10" x14ac:dyDescent="0.2">
      <c r="A15" t="s">
        <v>25</v>
      </c>
      <c r="B15" s="89">
        <v>1</v>
      </c>
      <c r="C15" s="90">
        <v>84500</v>
      </c>
      <c r="D15" s="90">
        <v>84500</v>
      </c>
      <c r="E15" s="90">
        <v>309703</v>
      </c>
      <c r="F15" t="s">
        <v>49</v>
      </c>
      <c r="G15" t="s">
        <v>49</v>
      </c>
      <c r="H15" t="s">
        <v>49</v>
      </c>
      <c r="I15" t="s">
        <v>49</v>
      </c>
      <c r="J15" t="s">
        <v>19</v>
      </c>
    </row>
    <row r="16" spans="1:10" x14ac:dyDescent="0.2">
      <c r="A16" t="s">
        <v>16</v>
      </c>
      <c r="B16" s="89">
        <v>1</v>
      </c>
      <c r="C16" s="90">
        <v>65500</v>
      </c>
      <c r="D16" s="90">
        <v>65500</v>
      </c>
      <c r="E16" t="s">
        <v>49</v>
      </c>
      <c r="F16" t="s">
        <v>49</v>
      </c>
      <c r="G16" s="90">
        <v>65500</v>
      </c>
      <c r="H16" s="90">
        <v>65500</v>
      </c>
      <c r="I16" s="90">
        <v>65500</v>
      </c>
      <c r="J16" t="s">
        <v>19</v>
      </c>
    </row>
  </sheetData>
  <autoFilter ref="A1:J16" xr:uid="{71F6A964-FBFC-446E-8C6C-000D9F407CA1}">
    <sortState ref="A2:J16">
      <sortCondition ref="J1:J1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outlinePr summaryBelow="0" summaryRight="0"/>
  </sheetPr>
  <dimension ref="A1:N17"/>
  <sheetViews>
    <sheetView workbookViewId="0">
      <selection activeCell="E30" sqref="E30"/>
    </sheetView>
  </sheetViews>
  <sheetFormatPr defaultColWidth="0" defaultRowHeight="12.75" x14ac:dyDescent="0.2"/>
  <cols>
    <col min="1" max="1" width="2.75" style="8" bestFit="1" customWidth="1"/>
    <col min="2" max="2" width="18.375" style="8" customWidth="1"/>
    <col min="3" max="12" width="14" style="8" customWidth="1"/>
    <col min="13" max="14" width="8.75" style="8" customWidth="1"/>
    <col min="15" max="16384" width="8.75" style="8" hidden="1"/>
  </cols>
  <sheetData>
    <row r="1" spans="1:14" s="16" customFormat="1" ht="14.25" customHeight="1" x14ac:dyDescent="0.2">
      <c r="A1" s="118"/>
      <c r="B1" s="121" t="s">
        <v>0</v>
      </c>
      <c r="C1" s="119" t="s">
        <v>176</v>
      </c>
      <c r="D1" s="119" t="s">
        <v>177</v>
      </c>
      <c r="E1" s="119" t="s">
        <v>178</v>
      </c>
      <c r="F1" s="119" t="s">
        <v>179</v>
      </c>
      <c r="G1" s="119" t="s">
        <v>180</v>
      </c>
      <c r="H1" s="119" t="s">
        <v>181</v>
      </c>
      <c r="I1" s="119" t="s">
        <v>182</v>
      </c>
      <c r="J1" s="119" t="s">
        <v>183</v>
      </c>
      <c r="K1" s="119" t="s">
        <v>29</v>
      </c>
      <c r="L1" s="119" t="s">
        <v>30</v>
      </c>
    </row>
    <row r="2" spans="1:14" s="16" customFormat="1" ht="13.9" customHeight="1" x14ac:dyDescent="0.2">
      <c r="A2" s="118"/>
      <c r="B2" s="122"/>
      <c r="C2" s="120"/>
      <c r="D2" s="120"/>
      <c r="E2" s="120"/>
      <c r="F2" s="120"/>
      <c r="G2" s="120"/>
      <c r="H2" s="120"/>
      <c r="I2" s="120"/>
      <c r="J2" s="120"/>
      <c r="K2" s="120"/>
      <c r="L2" s="120"/>
    </row>
    <row r="3" spans="1:14" x14ac:dyDescent="0.2">
      <c r="A3" s="17" t="s">
        <v>36</v>
      </c>
      <c r="B3" s="93" t="s">
        <v>161</v>
      </c>
      <c r="C3" s="94">
        <v>1</v>
      </c>
      <c r="D3" s="95">
        <v>125500</v>
      </c>
      <c r="E3" s="95">
        <v>251000</v>
      </c>
      <c r="F3" s="115">
        <v>0</v>
      </c>
      <c r="G3" s="96"/>
      <c r="H3" s="97" t="s">
        <v>49</v>
      </c>
      <c r="I3" s="97" t="s">
        <v>49</v>
      </c>
      <c r="J3" s="97" t="s">
        <v>49</v>
      </c>
      <c r="K3" s="97" t="s">
        <v>18</v>
      </c>
      <c r="L3" s="98">
        <v>2019</v>
      </c>
      <c r="M3" s="96"/>
      <c r="N3" s="8">
        <v>250086</v>
      </c>
    </row>
    <row r="4" spans="1:14" x14ac:dyDescent="0.2">
      <c r="A4" s="17" t="s">
        <v>36</v>
      </c>
      <c r="B4" s="99" t="s">
        <v>162</v>
      </c>
      <c r="C4" s="100">
        <v>1</v>
      </c>
      <c r="D4" s="96">
        <v>93000</v>
      </c>
      <c r="E4" s="96">
        <v>186000</v>
      </c>
      <c r="F4" s="115">
        <v>0</v>
      </c>
      <c r="G4" s="96"/>
      <c r="H4" s="101">
        <v>114395</v>
      </c>
      <c r="I4" s="101">
        <v>114395</v>
      </c>
      <c r="J4" s="101">
        <v>228790</v>
      </c>
      <c r="K4" s="101" t="s">
        <v>18</v>
      </c>
      <c r="L4" s="102">
        <v>2019</v>
      </c>
      <c r="M4" s="96"/>
      <c r="N4" s="8">
        <v>71605</v>
      </c>
    </row>
    <row r="5" spans="1:14" x14ac:dyDescent="0.2">
      <c r="A5" s="17" t="s">
        <v>36</v>
      </c>
      <c r="B5" s="93" t="s">
        <v>163</v>
      </c>
      <c r="C5" s="100">
        <v>1</v>
      </c>
      <c r="D5" s="96">
        <v>37500</v>
      </c>
      <c r="E5" s="96">
        <v>75000</v>
      </c>
      <c r="F5" s="115">
        <v>0</v>
      </c>
      <c r="G5" s="96"/>
      <c r="H5" s="101">
        <v>56807</v>
      </c>
      <c r="I5" s="101">
        <v>56807</v>
      </c>
      <c r="J5" s="101">
        <v>113614</v>
      </c>
      <c r="K5" s="101" t="s">
        <v>18</v>
      </c>
      <c r="L5" s="102">
        <v>2019</v>
      </c>
      <c r="M5" s="96"/>
      <c r="N5" s="8" t="s">
        <v>49</v>
      </c>
    </row>
    <row r="6" spans="1:14" x14ac:dyDescent="0.2">
      <c r="A6" s="17" t="s">
        <v>36</v>
      </c>
      <c r="B6" s="99" t="s">
        <v>164</v>
      </c>
      <c r="C6" s="100">
        <v>1</v>
      </c>
      <c r="D6" s="96">
        <v>57000</v>
      </c>
      <c r="E6" s="96">
        <v>114000</v>
      </c>
      <c r="F6" s="115">
        <v>0</v>
      </c>
      <c r="G6" s="96"/>
      <c r="H6" s="101">
        <v>30050</v>
      </c>
      <c r="I6" s="101">
        <v>30050</v>
      </c>
      <c r="J6" s="101">
        <v>60101</v>
      </c>
      <c r="K6" s="101" t="s">
        <v>18</v>
      </c>
      <c r="L6" s="102">
        <v>2019</v>
      </c>
      <c r="M6" s="96"/>
      <c r="N6" s="8">
        <v>83949</v>
      </c>
    </row>
    <row r="7" spans="1:14" x14ac:dyDescent="0.2">
      <c r="A7" s="17" t="s">
        <v>36</v>
      </c>
      <c r="B7" s="93" t="s">
        <v>165</v>
      </c>
      <c r="C7" s="100">
        <v>1</v>
      </c>
      <c r="D7" s="96">
        <v>175000</v>
      </c>
      <c r="E7" s="96">
        <v>350000</v>
      </c>
      <c r="F7" s="115">
        <v>0</v>
      </c>
      <c r="G7" s="96"/>
      <c r="H7" s="101">
        <v>288825</v>
      </c>
      <c r="I7" s="101">
        <v>288825</v>
      </c>
      <c r="J7" s="101">
        <v>577650</v>
      </c>
      <c r="K7" s="101" t="s">
        <v>18</v>
      </c>
      <c r="L7" s="102">
        <v>2019</v>
      </c>
      <c r="M7" s="96"/>
      <c r="N7" s="8">
        <v>61175</v>
      </c>
    </row>
    <row r="8" spans="1:14" x14ac:dyDescent="0.2">
      <c r="A8" s="17" t="s">
        <v>36</v>
      </c>
      <c r="B8" s="99" t="s">
        <v>166</v>
      </c>
      <c r="C8" s="100">
        <v>1</v>
      </c>
      <c r="D8" s="96">
        <v>31000</v>
      </c>
      <c r="E8" s="96">
        <v>62000</v>
      </c>
      <c r="F8" s="115">
        <v>0</v>
      </c>
      <c r="G8" s="96"/>
      <c r="H8" s="101">
        <v>62000</v>
      </c>
      <c r="I8" s="101">
        <v>62000</v>
      </c>
      <c r="J8" s="101">
        <v>124000</v>
      </c>
      <c r="K8" s="101" t="s">
        <v>18</v>
      </c>
      <c r="L8" s="102">
        <v>2019</v>
      </c>
      <c r="M8" s="96"/>
      <c r="N8" s="8" t="s">
        <v>49</v>
      </c>
    </row>
    <row r="9" spans="1:14" x14ac:dyDescent="0.2">
      <c r="A9" s="17">
        <v>1</v>
      </c>
      <c r="B9" s="93" t="s">
        <v>167</v>
      </c>
      <c r="C9" s="100">
        <v>1</v>
      </c>
      <c r="D9" s="96">
        <v>225291</v>
      </c>
      <c r="E9" s="96">
        <v>225291</v>
      </c>
      <c r="F9" s="115">
        <v>0</v>
      </c>
      <c r="G9" s="96"/>
      <c r="H9" s="101" t="s">
        <v>49</v>
      </c>
      <c r="I9" s="101" t="s">
        <v>49</v>
      </c>
      <c r="J9" s="101" t="s">
        <v>49</v>
      </c>
      <c r="K9" s="101" t="s">
        <v>19</v>
      </c>
      <c r="L9" s="102">
        <v>2019</v>
      </c>
      <c r="M9" s="96"/>
      <c r="N9" s="8">
        <v>225448</v>
      </c>
    </row>
    <row r="10" spans="1:14" x14ac:dyDescent="0.2">
      <c r="A10" s="17">
        <v>2</v>
      </c>
      <c r="B10" s="99" t="s">
        <v>168</v>
      </c>
      <c r="C10" s="100">
        <v>1</v>
      </c>
      <c r="D10" s="96">
        <v>238000</v>
      </c>
      <c r="E10" s="96">
        <v>238000</v>
      </c>
      <c r="F10" s="115">
        <v>0</v>
      </c>
      <c r="G10" s="96"/>
      <c r="H10" s="101" t="s">
        <v>49</v>
      </c>
      <c r="I10" s="101" t="s">
        <v>49</v>
      </c>
      <c r="J10" s="101" t="s">
        <v>49</v>
      </c>
      <c r="K10" s="101" t="s">
        <v>19</v>
      </c>
      <c r="L10" s="102">
        <v>2019</v>
      </c>
      <c r="M10" s="96"/>
      <c r="N10" s="8">
        <v>221597</v>
      </c>
    </row>
    <row r="11" spans="1:14" x14ac:dyDescent="0.2">
      <c r="A11" s="17">
        <v>3</v>
      </c>
      <c r="B11" s="93" t="s">
        <v>169</v>
      </c>
      <c r="C11" s="100">
        <v>1</v>
      </c>
      <c r="D11" s="96">
        <v>261000</v>
      </c>
      <c r="E11" s="96">
        <v>261000</v>
      </c>
      <c r="F11" s="115">
        <v>0</v>
      </c>
      <c r="G11" s="96"/>
      <c r="H11" s="101" t="s">
        <v>49</v>
      </c>
      <c r="I11" s="101" t="s">
        <v>49</v>
      </c>
      <c r="J11" s="101" t="s">
        <v>49</v>
      </c>
      <c r="K11" s="101" t="s">
        <v>19</v>
      </c>
      <c r="L11" s="102">
        <v>2019</v>
      </c>
      <c r="M11" s="96"/>
      <c r="N11" s="8">
        <v>260490</v>
      </c>
    </row>
    <row r="12" spans="1:14" x14ac:dyDescent="0.2">
      <c r="A12" s="17">
        <v>4</v>
      </c>
      <c r="B12" s="99" t="s">
        <v>170</v>
      </c>
      <c r="C12" s="100">
        <v>1</v>
      </c>
      <c r="D12" s="96">
        <v>237000</v>
      </c>
      <c r="E12" s="96">
        <v>237000</v>
      </c>
      <c r="F12" s="115">
        <v>0</v>
      </c>
      <c r="G12" s="96"/>
      <c r="H12" s="101" t="s">
        <v>49</v>
      </c>
      <c r="I12" s="101" t="s">
        <v>49</v>
      </c>
      <c r="J12" s="101" t="s">
        <v>49</v>
      </c>
      <c r="K12" s="101" t="s">
        <v>19</v>
      </c>
      <c r="L12" s="102">
        <v>2019</v>
      </c>
      <c r="M12" s="96"/>
      <c r="N12" s="8">
        <v>242316</v>
      </c>
    </row>
    <row r="13" spans="1:14" x14ac:dyDescent="0.2">
      <c r="A13" s="17">
        <v>5</v>
      </c>
      <c r="B13" s="93" t="s">
        <v>171</v>
      </c>
      <c r="C13" s="100">
        <v>1</v>
      </c>
      <c r="D13" s="96">
        <v>7361</v>
      </c>
      <c r="E13" s="96">
        <v>7361</v>
      </c>
      <c r="F13" s="115">
        <v>0</v>
      </c>
      <c r="G13" s="96"/>
      <c r="H13" s="101" t="s">
        <v>49</v>
      </c>
      <c r="I13" s="101" t="s">
        <v>49</v>
      </c>
      <c r="J13" s="101" t="s">
        <v>49</v>
      </c>
      <c r="K13" s="101" t="s">
        <v>19</v>
      </c>
      <c r="L13" s="102">
        <v>2019</v>
      </c>
      <c r="M13" s="96"/>
      <c r="N13" s="8">
        <v>7361</v>
      </c>
    </row>
    <row r="14" spans="1:14" x14ac:dyDescent="0.2">
      <c r="A14" s="17">
        <v>6</v>
      </c>
      <c r="B14" s="99" t="s">
        <v>172</v>
      </c>
      <c r="C14" s="100">
        <v>1</v>
      </c>
      <c r="D14" s="96">
        <v>60000</v>
      </c>
      <c r="E14" s="96">
        <v>60000</v>
      </c>
      <c r="F14" s="115">
        <v>0</v>
      </c>
      <c r="G14" s="96"/>
      <c r="H14" s="101" t="s">
        <v>49</v>
      </c>
      <c r="I14" s="101" t="s">
        <v>49</v>
      </c>
      <c r="J14" s="101" t="s">
        <v>49</v>
      </c>
      <c r="K14" s="101" t="s">
        <v>19</v>
      </c>
      <c r="L14" s="102">
        <v>2019</v>
      </c>
      <c r="M14" s="96"/>
      <c r="N14" s="8">
        <v>185608</v>
      </c>
    </row>
    <row r="15" spans="1:14" x14ac:dyDescent="0.2">
      <c r="A15" s="17">
        <v>7</v>
      </c>
      <c r="B15" s="93" t="s">
        <v>173</v>
      </c>
      <c r="C15" s="100">
        <v>1</v>
      </c>
      <c r="D15" s="96">
        <v>12500</v>
      </c>
      <c r="E15" s="96">
        <v>12500</v>
      </c>
      <c r="F15" s="115">
        <v>0</v>
      </c>
      <c r="G15" s="96"/>
      <c r="H15" s="101" t="s">
        <v>49</v>
      </c>
      <c r="I15" s="101" t="s">
        <v>49</v>
      </c>
      <c r="J15" s="101" t="s">
        <v>49</v>
      </c>
      <c r="K15" s="101" t="s">
        <v>19</v>
      </c>
      <c r="L15" s="102">
        <v>2019</v>
      </c>
      <c r="M15" s="96"/>
      <c r="N15" s="8">
        <v>113639</v>
      </c>
    </row>
    <row r="16" spans="1:14" x14ac:dyDescent="0.2">
      <c r="A16" s="17">
        <v>8</v>
      </c>
      <c r="B16" s="99" t="s">
        <v>174</v>
      </c>
      <c r="C16" s="100">
        <v>1</v>
      </c>
      <c r="D16" s="96">
        <v>84500</v>
      </c>
      <c r="E16" s="96">
        <v>84500</v>
      </c>
      <c r="F16" s="115">
        <v>0</v>
      </c>
      <c r="G16" s="96"/>
      <c r="H16" s="101" t="s">
        <v>49</v>
      </c>
      <c r="I16" s="101" t="s">
        <v>49</v>
      </c>
      <c r="J16" s="101" t="s">
        <v>49</v>
      </c>
      <c r="K16" s="101" t="s">
        <v>19</v>
      </c>
      <c r="L16" s="102">
        <v>2019</v>
      </c>
      <c r="M16" s="96"/>
      <c r="N16" s="8">
        <v>309703</v>
      </c>
    </row>
    <row r="17" spans="1:14" x14ac:dyDescent="0.2">
      <c r="A17" s="17">
        <v>9</v>
      </c>
      <c r="B17" s="93" t="s">
        <v>175</v>
      </c>
      <c r="C17" s="100">
        <v>1</v>
      </c>
      <c r="D17" s="96">
        <v>65500</v>
      </c>
      <c r="E17" s="96">
        <v>65500</v>
      </c>
      <c r="F17" s="115">
        <v>0</v>
      </c>
      <c r="G17" s="96"/>
      <c r="H17" s="101">
        <v>65500</v>
      </c>
      <c r="I17" s="101">
        <v>65500</v>
      </c>
      <c r="J17" s="101">
        <v>65500</v>
      </c>
      <c r="K17" s="101" t="s">
        <v>19</v>
      </c>
      <c r="L17" s="102">
        <v>2019</v>
      </c>
      <c r="M17" s="96"/>
      <c r="N17" s="8" t="s">
        <v>49</v>
      </c>
    </row>
  </sheetData>
  <autoFilter ref="A1:L17" xr:uid="{1E8E2B91-5AF8-4172-A0D7-59668C00B86B}">
    <sortState ref="A4:L17">
      <sortCondition ref="K1:K17"/>
    </sortState>
  </autoFilter>
  <mergeCells count="12">
    <mergeCell ref="A1:A2"/>
    <mergeCell ref="K1:K2"/>
    <mergeCell ref="L1:L2"/>
    <mergeCell ref="B1:B2"/>
    <mergeCell ref="J1:J2"/>
    <mergeCell ref="C1:C2"/>
    <mergeCell ref="E1:E2"/>
    <mergeCell ref="F1:F2"/>
    <mergeCell ref="G1:G2"/>
    <mergeCell ref="H1:H2"/>
    <mergeCell ref="I1:I2"/>
    <mergeCell ref="D1:D2"/>
  </mergeCells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Deals</vt:lpstr>
      <vt:lpstr>Sheet1</vt:lpstr>
      <vt:lpstr>Sheet2</vt:lpstr>
      <vt:lpstr>Purchaser</vt:lpstr>
      <vt:lpstr>Allocation_Pref</vt:lpstr>
      <vt:lpstr>Deals</vt:lpstr>
      <vt:lpstr>Deals_Type</vt:lpstr>
      <vt:lpstr>Optimum_Alloaction</vt:lpstr>
      <vt:lpstr>Purchasers_Amounts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user</cp:lastModifiedBy>
  <cp:lastPrinted>2019-09-24T15:45:16Z</cp:lastPrinted>
  <dcterms:created xsi:type="dcterms:W3CDTF">2019-09-11T18:08:59Z</dcterms:created>
  <dcterms:modified xsi:type="dcterms:W3CDTF">2020-01-27T17:27:25Z</dcterms:modified>
</cp:coreProperties>
</file>